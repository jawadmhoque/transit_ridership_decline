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/>
  <workbookPr/>
  <mc:AlternateContent xmlns:mc="http://schemas.openxmlformats.org/markup-compatibility/2006">
    <mc:Choice Requires="x15">
      <x15ac:absPath xmlns:x15ac="http://schemas.microsoft.com/office/spreadsheetml/2010/11/ac" url="https://luky-my.sharepoint.com/personal/vsgo222_uky_edu/Documents/github/Transit_ridership/transit_ridership_decline/Factors and Ridership Data/code/"/>
    </mc:Choice>
  </mc:AlternateContent>
  <xr:revisionPtr revIDLastSave="0" documentId="13_ncr:3_{2A501E82-3F7D-4DBB-92D1-825B899E8BF3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6" i="1" l="1"/>
  <c r="I17" i="1"/>
  <c r="I18" i="1"/>
  <c r="I19" i="1"/>
  <c r="I20" i="1"/>
  <c r="I21" i="1"/>
  <c r="I22" i="1"/>
  <c r="I23" i="1"/>
  <c r="I24" i="1"/>
  <c r="I25" i="1"/>
  <c r="I26" i="1"/>
  <c r="I27" i="1"/>
  <c r="I28" i="1"/>
  <c r="I15" i="1"/>
  <c r="F31" i="1"/>
  <c r="F30" i="1"/>
  <c r="L29" i="1"/>
  <c r="K29" i="1"/>
  <c r="L28" i="1"/>
  <c r="J28" i="1"/>
  <c r="K28" i="1" s="1"/>
  <c r="F28" i="1"/>
  <c r="L27" i="1"/>
  <c r="J27" i="1"/>
  <c r="K27" i="1" s="1"/>
  <c r="F27" i="1"/>
  <c r="L26" i="1"/>
  <c r="K26" i="1"/>
  <c r="F26" i="1"/>
  <c r="L25" i="1"/>
  <c r="K25" i="1"/>
  <c r="F25" i="1"/>
  <c r="L24" i="1"/>
  <c r="J24" i="1"/>
  <c r="K24" i="1" s="1"/>
  <c r="F24" i="1"/>
  <c r="L23" i="1"/>
  <c r="K23" i="1"/>
  <c r="J23" i="1"/>
  <c r="F23" i="1"/>
  <c r="L22" i="1"/>
  <c r="J22" i="1"/>
  <c r="K22" i="1" s="1"/>
  <c r="F22" i="1"/>
  <c r="L21" i="1"/>
  <c r="J21" i="1"/>
  <c r="K21" i="1" s="1"/>
  <c r="F21" i="1"/>
  <c r="L20" i="1"/>
  <c r="J20" i="1"/>
  <c r="K20" i="1" s="1"/>
  <c r="F20" i="1"/>
  <c r="L19" i="1"/>
  <c r="J19" i="1"/>
  <c r="K19" i="1" s="1"/>
  <c r="F19" i="1"/>
  <c r="L18" i="1"/>
  <c r="K18" i="1"/>
  <c r="J18" i="1"/>
  <c r="F18" i="1"/>
  <c r="L17" i="1"/>
  <c r="J17" i="1"/>
  <c r="K17" i="1" s="1"/>
  <c r="F17" i="1"/>
  <c r="L16" i="1"/>
  <c r="J16" i="1"/>
  <c r="K16" i="1" s="1"/>
  <c r="F16" i="1"/>
  <c r="L15" i="1"/>
  <c r="K15" i="1"/>
  <c r="J15" i="1"/>
  <c r="F15" i="1"/>
  <c r="AB13" i="1"/>
  <c r="AB28" i="1" s="1"/>
  <c r="AA13" i="1"/>
  <c r="AA25" i="1" s="1"/>
  <c r="Z13" i="1"/>
  <c r="Z26" i="1" s="1"/>
  <c r="Y13" i="1"/>
  <c r="Y29" i="1" s="1"/>
  <c r="X13" i="1"/>
  <c r="X18" i="1" s="1"/>
  <c r="W13" i="1"/>
  <c r="W18" i="1" s="1"/>
  <c r="V13" i="1"/>
  <c r="V27" i="1" s="1"/>
  <c r="U13" i="1"/>
  <c r="U22" i="1" s="1"/>
  <c r="T13" i="1"/>
  <c r="T17" i="1" s="1"/>
  <c r="S13" i="1"/>
  <c r="S16" i="1" s="1"/>
  <c r="R13" i="1"/>
  <c r="R26" i="1" s="1"/>
  <c r="Q13" i="1"/>
  <c r="Q29" i="1" s="1"/>
  <c r="P13" i="1"/>
  <c r="P29" i="1" s="1"/>
  <c r="O13" i="1"/>
  <c r="O26" i="1" s="1"/>
  <c r="N13" i="1"/>
  <c r="N27" i="1" s="1"/>
  <c r="M13" i="1"/>
  <c r="M22" i="1" s="1"/>
  <c r="H11" i="1"/>
  <c r="H13" i="1" s="1"/>
  <c r="G11" i="1"/>
  <c r="G13" i="1" s="1"/>
  <c r="G30" i="1" s="1"/>
  <c r="U29" i="1" l="1"/>
  <c r="U16" i="1"/>
  <c r="U17" i="1"/>
  <c r="M20" i="1"/>
  <c r="Y21" i="1"/>
  <c r="Q22" i="1"/>
  <c r="Y18" i="1"/>
  <c r="S15" i="1"/>
  <c r="T18" i="1"/>
  <c r="P19" i="1"/>
  <c r="G20" i="1"/>
  <c r="T15" i="1"/>
  <c r="Y16" i="1"/>
  <c r="P17" i="1"/>
  <c r="AB17" i="1"/>
  <c r="U18" i="1"/>
  <c r="AA19" i="1"/>
  <c r="Q20" i="1"/>
  <c r="T22" i="1"/>
  <c r="G23" i="1"/>
  <c r="T23" i="1"/>
  <c r="X29" i="1"/>
  <c r="G15" i="1"/>
  <c r="O15" i="1"/>
  <c r="X15" i="1"/>
  <c r="Q17" i="1"/>
  <c r="O18" i="1"/>
  <c r="AB19" i="1"/>
  <c r="AA20" i="1"/>
  <c r="Q21" i="1"/>
  <c r="Y22" i="1"/>
  <c r="AB23" i="1"/>
  <c r="O25" i="1"/>
  <c r="T28" i="1"/>
  <c r="M29" i="1"/>
  <c r="P15" i="1"/>
  <c r="P30" i="1" s="1"/>
  <c r="AB15" i="1"/>
  <c r="P18" i="1"/>
  <c r="AB22" i="1"/>
  <c r="W25" i="1"/>
  <c r="H31" i="1"/>
  <c r="H27" i="1"/>
  <c r="H26" i="1"/>
  <c r="H25" i="1"/>
  <c r="H21" i="1"/>
  <c r="H24" i="1"/>
  <c r="H20" i="1"/>
  <c r="H16" i="1"/>
  <c r="H30" i="1"/>
  <c r="H22" i="1"/>
  <c r="H15" i="1"/>
  <c r="H28" i="1"/>
  <c r="H19" i="1"/>
  <c r="H18" i="1"/>
  <c r="H17" i="1"/>
  <c r="H23" i="1"/>
  <c r="Z17" i="1"/>
  <c r="V20" i="1"/>
  <c r="R24" i="1"/>
  <c r="Z24" i="1"/>
  <c r="V26" i="1"/>
  <c r="R27" i="1"/>
  <c r="S29" i="1"/>
  <c r="S28" i="1"/>
  <c r="S22" i="1"/>
  <c r="S27" i="1"/>
  <c r="S21" i="1"/>
  <c r="S17" i="1"/>
  <c r="S30" i="1" s="1"/>
  <c r="O16" i="1"/>
  <c r="Z16" i="1"/>
  <c r="AA18" i="1"/>
  <c r="G19" i="1"/>
  <c r="R19" i="1"/>
  <c r="W19" i="1"/>
  <c r="R20" i="1"/>
  <c r="R21" i="1"/>
  <c r="O23" i="1"/>
  <c r="W23" i="1"/>
  <c r="S24" i="1"/>
  <c r="AA24" i="1"/>
  <c r="R25" i="1"/>
  <c r="Z25" i="1"/>
  <c r="W26" i="1"/>
  <c r="M27" i="1"/>
  <c r="U27" i="1"/>
  <c r="M28" i="1"/>
  <c r="U28" i="1"/>
  <c r="P27" i="1"/>
  <c r="P21" i="1"/>
  <c r="P26" i="1"/>
  <c r="P25" i="1"/>
  <c r="P24" i="1"/>
  <c r="P20" i="1"/>
  <c r="P16" i="1"/>
  <c r="T27" i="1"/>
  <c r="T21" i="1"/>
  <c r="T26" i="1"/>
  <c r="T25" i="1"/>
  <c r="T24" i="1"/>
  <c r="T20" i="1"/>
  <c r="T30" i="1" s="1"/>
  <c r="T16" i="1"/>
  <c r="X27" i="1"/>
  <c r="X21" i="1"/>
  <c r="X26" i="1"/>
  <c r="X25" i="1"/>
  <c r="X24" i="1"/>
  <c r="X20" i="1"/>
  <c r="X16" i="1"/>
  <c r="X30" i="1" s="1"/>
  <c r="AB27" i="1"/>
  <c r="AB21" i="1"/>
  <c r="AB26" i="1"/>
  <c r="AB25" i="1"/>
  <c r="AB24" i="1"/>
  <c r="AB20" i="1"/>
  <c r="AB16" i="1"/>
  <c r="M15" i="1"/>
  <c r="Q15" i="1"/>
  <c r="V15" i="1"/>
  <c r="AA15" i="1"/>
  <c r="G16" i="1"/>
  <c r="Q16" i="1"/>
  <c r="V16" i="1"/>
  <c r="AA16" i="1"/>
  <c r="M17" i="1"/>
  <c r="AC17" i="1" s="1"/>
  <c r="R17" i="1"/>
  <c r="X17" i="1"/>
  <c r="Q18" i="1"/>
  <c r="AB18" i="1"/>
  <c r="N19" i="1"/>
  <c r="S19" i="1"/>
  <c r="X19" i="1"/>
  <c r="N20" i="1"/>
  <c r="AC20" i="1" s="1"/>
  <c r="S20" i="1"/>
  <c r="Y20" i="1"/>
  <c r="M21" i="1"/>
  <c r="U21" i="1"/>
  <c r="P23" i="1"/>
  <c r="X23" i="1"/>
  <c r="G24" i="1"/>
  <c r="N24" i="1"/>
  <c r="V24" i="1"/>
  <c r="S25" i="1"/>
  <c r="P28" i="1"/>
  <c r="X28" i="1"/>
  <c r="N23" i="1"/>
  <c r="N29" i="1"/>
  <c r="N28" i="1"/>
  <c r="N22" i="1"/>
  <c r="AC22" i="1" s="1"/>
  <c r="N18" i="1"/>
  <c r="R23" i="1"/>
  <c r="R29" i="1"/>
  <c r="R28" i="1"/>
  <c r="R22" i="1"/>
  <c r="R18" i="1"/>
  <c r="V23" i="1"/>
  <c r="V29" i="1"/>
  <c r="V28" i="1"/>
  <c r="V22" i="1"/>
  <c r="V18" i="1"/>
  <c r="Z23" i="1"/>
  <c r="Z29" i="1"/>
  <c r="Z28" i="1"/>
  <c r="Z22" i="1"/>
  <c r="Z18" i="1"/>
  <c r="N16" i="1"/>
  <c r="V19" i="1"/>
  <c r="N26" i="1"/>
  <c r="Z27" i="1"/>
  <c r="G28" i="1"/>
  <c r="G22" i="1"/>
  <c r="G27" i="1"/>
  <c r="G26" i="1"/>
  <c r="G25" i="1"/>
  <c r="G21" i="1"/>
  <c r="G17" i="1"/>
  <c r="O29" i="1"/>
  <c r="O28" i="1"/>
  <c r="O22" i="1"/>
  <c r="O27" i="1"/>
  <c r="O21" i="1"/>
  <c r="O17" i="1"/>
  <c r="W29" i="1"/>
  <c r="W28" i="1"/>
  <c r="W22" i="1"/>
  <c r="W27" i="1"/>
  <c r="W21" i="1"/>
  <c r="W17" i="1"/>
  <c r="AA29" i="1"/>
  <c r="AA28" i="1"/>
  <c r="AA22" i="1"/>
  <c r="AA27" i="1"/>
  <c r="AA21" i="1"/>
  <c r="AA17" i="1"/>
  <c r="Z15" i="1"/>
  <c r="V17" i="1"/>
  <c r="G18" i="1"/>
  <c r="W20" i="1"/>
  <c r="Z21" i="1"/>
  <c r="M26" i="1"/>
  <c r="M25" i="1"/>
  <c r="M24" i="1"/>
  <c r="M23" i="1"/>
  <c r="M19" i="1"/>
  <c r="Q26" i="1"/>
  <c r="Q25" i="1"/>
  <c r="Q24" i="1"/>
  <c r="Q23" i="1"/>
  <c r="Q19" i="1"/>
  <c r="U26" i="1"/>
  <c r="U25" i="1"/>
  <c r="U24" i="1"/>
  <c r="U23" i="1"/>
  <c r="U19" i="1"/>
  <c r="U15" i="1"/>
  <c r="U30" i="1" s="1"/>
  <c r="Y26" i="1"/>
  <c r="Y25" i="1"/>
  <c r="Y24" i="1"/>
  <c r="Y23" i="1"/>
  <c r="Y19" i="1"/>
  <c r="Y15" i="1"/>
  <c r="N15" i="1"/>
  <c r="R15" i="1"/>
  <c r="W15" i="1"/>
  <c r="M16" i="1"/>
  <c r="R16" i="1"/>
  <c r="W16" i="1"/>
  <c r="N17" i="1"/>
  <c r="Y17" i="1"/>
  <c r="M18" i="1"/>
  <c r="S18" i="1"/>
  <c r="O19" i="1"/>
  <c r="T19" i="1"/>
  <c r="Z19" i="1"/>
  <c r="O20" i="1"/>
  <c r="U20" i="1"/>
  <c r="Z20" i="1"/>
  <c r="N21" i="1"/>
  <c r="V21" i="1"/>
  <c r="P22" i="1"/>
  <c r="X22" i="1"/>
  <c r="S23" i="1"/>
  <c r="AA23" i="1"/>
  <c r="O24" i="1"/>
  <c r="W24" i="1"/>
  <c r="N25" i="1"/>
  <c r="V25" i="1"/>
  <c r="S26" i="1"/>
  <c r="AA26" i="1"/>
  <c r="Q27" i="1"/>
  <c r="Y27" i="1"/>
  <c r="Q28" i="1"/>
  <c r="Y28" i="1"/>
  <c r="T29" i="1"/>
  <c r="AB29" i="1"/>
  <c r="AB30" i="1" l="1"/>
  <c r="O30" i="1"/>
  <c r="AC29" i="1"/>
  <c r="AD29" i="1" s="1"/>
  <c r="AD22" i="1"/>
  <c r="AD20" i="1"/>
  <c r="W30" i="1"/>
  <c r="AC19" i="1"/>
  <c r="AD19" i="1" s="1"/>
  <c r="AC26" i="1"/>
  <c r="AD26" i="1" s="1"/>
  <c r="M30" i="1"/>
  <c r="AC15" i="1"/>
  <c r="AD15" i="1" s="1"/>
  <c r="AC27" i="1"/>
  <c r="AD27" i="1" s="1"/>
  <c r="AC18" i="1"/>
  <c r="AD18" i="1" s="1"/>
  <c r="R30" i="1"/>
  <c r="AC23" i="1"/>
  <c r="AD23" i="1" s="1"/>
  <c r="AC21" i="1"/>
  <c r="AD21" i="1" s="1"/>
  <c r="AC16" i="1"/>
  <c r="AD16" i="1" s="1"/>
  <c r="N30" i="1"/>
  <c r="AC24" i="1"/>
  <c r="AD24" i="1" s="1"/>
  <c r="Z30" i="1"/>
  <c r="V30" i="1"/>
  <c r="AC28" i="1"/>
  <c r="AD28" i="1" s="1"/>
  <c r="AD17" i="1"/>
  <c r="AA30" i="1"/>
  <c r="Y30" i="1"/>
  <c r="AC25" i="1"/>
  <c r="AD25" i="1" s="1"/>
  <c r="Q30" i="1"/>
  <c r="AC30" i="1"/>
  <c r="I30" i="1"/>
  <c r="AD30" i="1" s="1"/>
  <c r="AC31" i="1"/>
  <c r="I31" i="1"/>
  <c r="AD31" i="1" s="1"/>
  <c r="AD32" i="1" l="1"/>
</calcChain>
</file>

<file path=xl/sharedStrings.xml><?xml version="1.0" encoding="utf-8"?>
<sst xmlns="http://schemas.openxmlformats.org/spreadsheetml/2006/main" count="61" uniqueCount="48">
  <si>
    <t>Year 1</t>
  </si>
  <si>
    <t>Year 2</t>
  </si>
  <si>
    <t>Factors Affecting Change</t>
  </si>
  <si>
    <t>Dependent Variable</t>
  </si>
  <si>
    <t>LN(Unlinked Passenger Trips)</t>
  </si>
  <si>
    <t>Average Values</t>
  </si>
  <si>
    <t>Ridership Effect</t>
  </si>
  <si>
    <t>Description</t>
  </si>
  <si>
    <t>Transf.</t>
  </si>
  <si>
    <t>Variable</t>
  </si>
  <si>
    <t>Coeff.</t>
  </si>
  <si>
    <t>% Diff</t>
  </si>
  <si>
    <t>Absolute</t>
  </si>
  <si>
    <t>col num</t>
  </si>
  <si>
    <t>Vehicle Revenue Miles</t>
  </si>
  <si>
    <t>Log</t>
  </si>
  <si>
    <t>VRM_ADJ</t>
  </si>
  <si>
    <t>Average Fare (2018$)</t>
  </si>
  <si>
    <t>FARE_per_UPT_2018</t>
  </si>
  <si>
    <t>Population + Employment</t>
  </si>
  <si>
    <t>POP_EMP</t>
  </si>
  <si>
    <t>% of Population in Transit Supportive Density</t>
  </si>
  <si>
    <t>TSD_POP_PCT</t>
  </si>
  <si>
    <t>Average Gas Price (2018$)</t>
  </si>
  <si>
    <t>GAS_PRICE_2018</t>
  </si>
  <si>
    <t>Median Per Capita Income (2018$)</t>
  </si>
  <si>
    <t>TOTAL_MED_INC_INDIV_2018</t>
  </si>
  <si>
    <t>% of Households with 0 Vehicles</t>
  </si>
  <si>
    <t>PCT_HH_NO_VEH</t>
  </si>
  <si>
    <t>% Working at Home</t>
  </si>
  <si>
    <t>JTW_HOME_PCT</t>
  </si>
  <si>
    <t>Years Since Ride-hail Start</t>
  </si>
  <si>
    <t>YEARS_SINCE_TNC_BUS2_HINY</t>
  </si>
  <si>
    <t>YEARS_SINCE_TNC_BUS2_MIDLOW</t>
  </si>
  <si>
    <t>YEARS_SINCE_TNC_RAIL2_HINY</t>
  </si>
  <si>
    <t>YEARS_SINCE_TNC_RAIL2_MIDLOW</t>
  </si>
  <si>
    <t>Bike Share</t>
  </si>
  <si>
    <t>BIKE_SHARE</t>
  </si>
  <si>
    <t>Electic Scooters</t>
  </si>
  <si>
    <t>scooter_flag</t>
  </si>
  <si>
    <t>New Reporters</t>
  </si>
  <si>
    <t>New_Reporter</t>
  </si>
  <si>
    <t>Total Modeled Ridership</t>
  </si>
  <si>
    <t>fitted_exp</t>
  </si>
  <si>
    <t>Total Observed Ridership</t>
  </si>
  <si>
    <t>UPT_ADJ</t>
  </si>
  <si>
    <t>Unexplained Change</t>
  </si>
  <si>
    <t>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</si>
</sst>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_(* #,##0_);_(* \(#,##0\);_(* &quot;-&quot;??_);_(@_)"/>
    <numFmt numFmtId="165" formatCode="0.000;[Red]\-0.000"/>
    <numFmt numFmtId="166" formatCode="0.0%;[Red]\-0.0%"/>
    <numFmt numFmtId="167" formatCode="0.0%"/>
    <numFmt numFmtId="168" formatCode="0,000;[Red]\-0,000"/>
    <numFmt numFmtId="169" formatCode="_(* #,##0.0_);_(* \(#,##0.0\);_(* &quot;-&quot;??_);_(@_)"/>
    <numFmt numFmtId="170" formatCode="0.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1" applyNumberFormat="0" applyAlignment="0" applyProtection="0"/>
  </cellStyleXfs>
  <cellXfs count="54">
    <xf numFmtId="0" fontId="0" fillId="0" borderId="0" xfId="0"/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/>
    </xf>
    <xf numFmtId="164" fontId="5" fillId="0" borderId="2" xfId="1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/>
    </xf>
    <xf numFmtId="0" fontId="5" fillId="3" borderId="0" xfId="3" applyFont="1" applyFill="1" applyBorder="1" applyAlignment="1">
      <alignment horizontal="right" vertical="center"/>
    </xf>
    <xf numFmtId="0" fontId="5" fillId="0" borderId="3" xfId="0" applyFont="1" applyBorder="1" applyAlignment="1">
      <alignment vertical="center" wrapText="1"/>
    </xf>
    <xf numFmtId="0" fontId="5" fillId="0" borderId="3" xfId="0" applyFont="1" applyBorder="1" applyAlignment="1">
      <alignment vertical="center"/>
    </xf>
    <xf numFmtId="0" fontId="5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vertical="center"/>
    </xf>
    <xf numFmtId="164" fontId="5" fillId="0" borderId="0" xfId="1" applyNumberFormat="1" applyFont="1" applyFill="1" applyBorder="1" applyAlignment="1">
      <alignment vertical="center"/>
    </xf>
    <xf numFmtId="165" fontId="5" fillId="0" borderId="0" xfId="0" applyNumberFormat="1" applyFont="1" applyAlignment="1">
      <alignment vertical="center"/>
    </xf>
    <xf numFmtId="166" fontId="5" fillId="0" borderId="0" xfId="2" applyNumberFormat="1" applyFont="1" applyFill="1" applyBorder="1" applyAlignment="1">
      <alignment horizontal="right" vertical="center"/>
    </xf>
    <xf numFmtId="167" fontId="5" fillId="0" borderId="0" xfId="2" applyNumberFormat="1" applyFont="1" applyFill="1" applyBorder="1" applyAlignment="1">
      <alignment vertical="center"/>
    </xf>
    <xf numFmtId="168" fontId="5" fillId="0" borderId="0" xfId="0" applyNumberFormat="1" applyFont="1" applyAlignment="1">
      <alignment vertical="center"/>
    </xf>
    <xf numFmtId="166" fontId="5" fillId="0" borderId="0" xfId="2" applyNumberFormat="1" applyFont="1" applyFill="1" applyBorder="1" applyAlignment="1">
      <alignment vertical="center"/>
    </xf>
    <xf numFmtId="43" fontId="5" fillId="0" borderId="0" xfId="1" applyFont="1" applyFill="1" applyBorder="1" applyAlignment="1">
      <alignment vertical="center"/>
    </xf>
    <xf numFmtId="0" fontId="5" fillId="0" borderId="0" xfId="0" applyFont="1"/>
    <xf numFmtId="169" fontId="5" fillId="0" borderId="0" xfId="1" applyNumberFormat="1" applyFont="1" applyFill="1" applyBorder="1" applyAlignment="1">
      <alignment vertical="center"/>
    </xf>
    <xf numFmtId="165" fontId="5" fillId="0" borderId="4" xfId="0" applyNumberFormat="1" applyFont="1" applyBorder="1" applyAlignment="1">
      <alignment vertical="center"/>
    </xf>
    <xf numFmtId="169" fontId="5" fillId="0" borderId="4" xfId="1" applyNumberFormat="1" applyFont="1" applyFill="1" applyBorder="1" applyAlignment="1">
      <alignment vertical="center"/>
    </xf>
    <xf numFmtId="167" fontId="5" fillId="0" borderId="4" xfId="2" applyNumberFormat="1" applyFont="1" applyFill="1" applyBorder="1" applyAlignment="1">
      <alignment vertical="center"/>
    </xf>
    <xf numFmtId="164" fontId="5" fillId="0" borderId="4" xfId="1" applyNumberFormat="1" applyFont="1" applyFill="1" applyBorder="1" applyAlignment="1">
      <alignment vertical="center"/>
    </xf>
    <xf numFmtId="168" fontId="5" fillId="0" borderId="4" xfId="0" applyNumberFormat="1" applyFont="1" applyBorder="1" applyAlignment="1">
      <alignment vertical="center"/>
    </xf>
    <xf numFmtId="166" fontId="5" fillId="0" borderId="4" xfId="2" applyNumberFormat="1" applyFont="1" applyFill="1" applyBorder="1" applyAlignment="1">
      <alignment vertical="center"/>
    </xf>
    <xf numFmtId="0" fontId="5" fillId="0" borderId="5" xfId="0" applyFont="1" applyBorder="1" applyAlignment="1">
      <alignment vertical="center" wrapText="1"/>
    </xf>
    <xf numFmtId="0" fontId="5" fillId="0" borderId="5" xfId="0" applyFont="1" applyBorder="1" applyAlignment="1">
      <alignment horizontal="center" vertical="center"/>
    </xf>
    <xf numFmtId="170" fontId="5" fillId="0" borderId="5" xfId="0" applyNumberFormat="1" applyFont="1" applyBorder="1" applyAlignment="1">
      <alignment vertical="center"/>
    </xf>
    <xf numFmtId="0" fontId="5" fillId="0" borderId="5" xfId="0" applyFont="1" applyBorder="1" applyAlignment="1">
      <alignment vertical="center"/>
    </xf>
    <xf numFmtId="164" fontId="5" fillId="0" borderId="5" xfId="1" applyNumberFormat="1" applyFont="1" applyFill="1" applyBorder="1" applyAlignment="1">
      <alignment vertical="center"/>
    </xf>
    <xf numFmtId="166" fontId="5" fillId="0" borderId="5" xfId="2" applyNumberFormat="1" applyFont="1" applyFill="1" applyBorder="1" applyAlignment="1">
      <alignment horizontal="right" vertical="center"/>
    </xf>
    <xf numFmtId="167" fontId="5" fillId="0" borderId="5" xfId="2" applyNumberFormat="1" applyFont="1" applyFill="1" applyBorder="1" applyAlignment="1">
      <alignment vertical="center"/>
    </xf>
    <xf numFmtId="168" fontId="5" fillId="0" borderId="5" xfId="0" applyNumberFormat="1" applyFont="1" applyBorder="1" applyAlignment="1">
      <alignment vertical="center"/>
    </xf>
    <xf numFmtId="166" fontId="5" fillId="0" borderId="5" xfId="2" applyNumberFormat="1" applyFont="1" applyFill="1" applyBorder="1" applyAlignment="1">
      <alignment vertical="center"/>
    </xf>
    <xf numFmtId="0" fontId="5" fillId="0" borderId="0" xfId="2" applyNumberFormat="1" applyFont="1" applyFill="1" applyBorder="1" applyAlignment="1">
      <alignment horizontal="right" vertical="center"/>
    </xf>
    <xf numFmtId="0" fontId="5" fillId="0" borderId="2" xfId="0" applyFont="1" applyBorder="1" applyAlignment="1">
      <alignment vertical="center" wrapText="1"/>
    </xf>
    <xf numFmtId="0" fontId="5" fillId="0" borderId="2" xfId="0" applyFont="1" applyBorder="1" applyAlignment="1">
      <alignment vertical="center"/>
    </xf>
    <xf numFmtId="0" fontId="5" fillId="0" borderId="2" xfId="2" applyNumberFormat="1" applyFont="1" applyFill="1" applyBorder="1" applyAlignment="1">
      <alignment horizontal="right" vertical="center"/>
    </xf>
    <xf numFmtId="167" fontId="5" fillId="0" borderId="2" xfId="2" applyNumberFormat="1" applyFont="1" applyFill="1" applyBorder="1" applyAlignment="1">
      <alignment vertical="center"/>
    </xf>
    <xf numFmtId="168" fontId="5" fillId="0" borderId="2" xfId="0" applyNumberFormat="1" applyFont="1" applyBorder="1" applyAlignment="1">
      <alignment vertical="center"/>
    </xf>
    <xf numFmtId="166" fontId="5" fillId="0" borderId="2" xfId="2" applyNumberFormat="1" applyFont="1" applyFill="1" applyBorder="1" applyAlignment="1">
      <alignment vertical="center"/>
    </xf>
    <xf numFmtId="0" fontId="5" fillId="0" borderId="6" xfId="0" applyFont="1" applyBorder="1" applyAlignment="1">
      <alignment vertical="center" wrapText="1"/>
    </xf>
    <xf numFmtId="0" fontId="5" fillId="0" borderId="6" xfId="0" applyFont="1" applyBorder="1" applyAlignment="1">
      <alignment vertical="center"/>
    </xf>
    <xf numFmtId="0" fontId="5" fillId="0" borderId="6" xfId="0" applyFont="1" applyBorder="1" applyAlignment="1">
      <alignment horizontal="center" vertical="center"/>
    </xf>
  </cellXfs>
  <cellStyles count="4">
    <cellStyle name="Comma" xfId="1" builtinId="3"/>
    <cellStyle name="Input" xfId="3" builtinId="20"/>
    <cellStyle name="Normal" xfId="0" builtinId="0"/>
    <cellStyle name="Percent" xfId="2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oK\OneDrive%20-%20University%20of%20Kentucky\github\Transit_ridership\transit_ridership_decline\Factors%20and%20Ridership%20Data\Model%20Estimation\Est7\FAC%20%207-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-Bus"/>
      <sheetName val="Summary-Rail"/>
      <sheetName val="FAC 2002-2018 BUS"/>
      <sheetName val="FAC 2012-2018 BUS"/>
      <sheetName val="FAC 2002-2018 RAIL"/>
      <sheetName val="FAC 2012-2018 RAIL"/>
      <sheetName val="FAC_TOTALS_APTA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B2" t="str">
            <v>RAIL_FLAG</v>
          </cell>
          <cell r="C2" t="str">
            <v>CLUSTER_APTA</v>
          </cell>
          <cell r="D2" t="str">
            <v>Year</v>
          </cell>
          <cell r="E2" t="str">
            <v>UPT_ADJ_first_year</v>
          </cell>
          <cell r="F2" t="str">
            <v>UPT_ADJ_base</v>
          </cell>
          <cell r="G2" t="str">
            <v>UPT_ADJ</v>
          </cell>
          <cell r="H2" t="str">
            <v>UPT_ADJ_diff</v>
          </cell>
          <cell r="I2" t="str">
            <v>fitted_exp</v>
          </cell>
          <cell r="J2" t="str">
            <v>fitted_exp_diff</v>
          </cell>
          <cell r="K2" t="str">
            <v>VRM_ADJ</v>
          </cell>
          <cell r="L2" t="str">
            <v>FARE_per_UPT_2018</v>
          </cell>
          <cell r="M2" t="str">
            <v>POP_EMP</v>
          </cell>
          <cell r="N2" t="str">
            <v>GAS_PRICE_2018</v>
          </cell>
          <cell r="O2" t="str">
            <v>TOTAL_MED_INC_INDIV_2018</v>
          </cell>
          <cell r="P2" t="str">
            <v>PCT_HH_NO_VEH</v>
          </cell>
          <cell r="Q2" t="str">
            <v>TSD_POP_PCT</v>
          </cell>
          <cell r="R2" t="str">
            <v>JTW_HOME_PCT</v>
          </cell>
          <cell r="S2" t="str">
            <v>YEARS_SINCE_TNC_BUS2_HINY</v>
          </cell>
          <cell r="T2" t="str">
            <v>YEARS_SINCE_TNC_BUS2_MIDLOW</v>
          </cell>
          <cell r="U2" t="str">
            <v>YEARS_SINCE_TNC_RAIL2_HINY</v>
          </cell>
          <cell r="V2" t="str">
            <v>YEARS_SINCE_TNC_RAIL2_MIDLOW</v>
          </cell>
          <cell r="W2" t="str">
            <v>BIKE_SHARE</v>
          </cell>
          <cell r="X2" t="str">
            <v>scooter_flag</v>
          </cell>
          <cell r="Y2" t="str">
            <v>VRM_ADJ_log_FAC</v>
          </cell>
          <cell r="Z2" t="str">
            <v>FARE_per_UPT_2018_log_FAC</v>
          </cell>
          <cell r="AA2" t="str">
            <v>POP_EMP_log_FAC</v>
          </cell>
          <cell r="AB2" t="str">
            <v>GAS_PRICE_2018_log_FAC</v>
          </cell>
          <cell r="AC2" t="str">
            <v>TOTAL_MED_INC_INDIV_2018_log_FAC</v>
          </cell>
          <cell r="AD2" t="str">
            <v>PCT_HH_NO_VEH_FAC</v>
          </cell>
          <cell r="AE2" t="str">
            <v>TSD_POP_PCT_FAC</v>
          </cell>
          <cell r="AF2" t="str">
            <v>JTW_HOME_PCT_FAC</v>
          </cell>
          <cell r="AG2" t="str">
            <v>YEARS_SINCE_TNC_BUS2_HINY_FAC</v>
          </cell>
          <cell r="AH2" t="str">
            <v>YEARS_SINCE_TNC_BUS2_MIDLOW_FAC</v>
          </cell>
          <cell r="AI2" t="str">
            <v>YEARS_SINCE_TNC_RAIL2_HINY_FAC</v>
          </cell>
          <cell r="AJ2" t="str">
            <v>YEARS_SINCE_TNC_RAIL2_MIDLOW_FAC</v>
          </cell>
          <cell r="AK2" t="str">
            <v>BIKE_SHARE_FAC</v>
          </cell>
          <cell r="AL2" t="str">
            <v>scooter_flag_FAC</v>
          </cell>
          <cell r="AM2" t="str">
            <v>FAC_Sum</v>
          </cell>
          <cell r="AN2" t="str">
            <v>Known_FAC</v>
          </cell>
          <cell r="AO2" t="str">
            <v>Unknown_FAC</v>
          </cell>
          <cell r="AP2" t="str">
            <v>New_Reporter_FAC</v>
          </cell>
          <cell r="AQ2" t="str">
            <v>Total_Change</v>
          </cell>
        </row>
        <row r="4">
          <cell r="A4" t="str">
            <v>0_1_2002</v>
          </cell>
          <cell r="B4">
            <v>0</v>
          </cell>
          <cell r="C4">
            <v>1</v>
          </cell>
          <cell r="D4">
            <v>2002</v>
          </cell>
          <cell r="E4">
            <v>1982005795.96</v>
          </cell>
          <cell r="F4">
            <v>0</v>
          </cell>
          <cell r="G4">
            <v>1982005795.96</v>
          </cell>
          <cell r="H4">
            <v>0</v>
          </cell>
          <cell r="I4">
            <v>1878108677.18068</v>
          </cell>
          <cell r="J4">
            <v>0</v>
          </cell>
          <cell r="K4">
            <v>50210669.002108097</v>
          </cell>
          <cell r="L4">
            <v>0.96214307337159199</v>
          </cell>
          <cell r="M4">
            <v>6960297.26032863</v>
          </cell>
          <cell r="N4">
            <v>1.9678602713629301</v>
          </cell>
          <cell r="O4">
            <v>41470.960736725603</v>
          </cell>
          <cell r="P4">
            <v>10.2554362716791</v>
          </cell>
          <cell r="Q4">
            <v>51.770454283682596</v>
          </cell>
          <cell r="R4">
            <v>3.9479789383814201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1982005795.96</v>
          </cell>
          <cell r="AQ4">
            <v>1982005795.96</v>
          </cell>
        </row>
        <row r="5">
          <cell r="A5" t="str">
            <v>0_1_2003</v>
          </cell>
          <cell r="B5">
            <v>0</v>
          </cell>
          <cell r="C5">
            <v>1</v>
          </cell>
          <cell r="D5">
            <v>2003</v>
          </cell>
          <cell r="E5">
            <v>1982005795.96</v>
          </cell>
          <cell r="F5">
            <v>1982005795.96</v>
          </cell>
          <cell r="G5">
            <v>1989456244.22</v>
          </cell>
          <cell r="H5">
            <v>7450448.2600002903</v>
          </cell>
          <cell r="I5">
            <v>1996006800.9913399</v>
          </cell>
          <cell r="J5">
            <v>117898123.81065799</v>
          </cell>
          <cell r="K5">
            <v>52344051.402541503</v>
          </cell>
          <cell r="L5">
            <v>0.92974467029998198</v>
          </cell>
          <cell r="M5">
            <v>7091861.2803312596</v>
          </cell>
          <cell r="N5">
            <v>2.2536972197615399</v>
          </cell>
          <cell r="O5">
            <v>40652.866392225202</v>
          </cell>
          <cell r="P5">
            <v>10.1359412882837</v>
          </cell>
          <cell r="Q5">
            <v>49.833157941351701</v>
          </cell>
          <cell r="R5">
            <v>3.9479789383814201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73668137.884693295</v>
          </cell>
          <cell r="Z5">
            <v>23451013.618424099</v>
          </cell>
          <cell r="AA5">
            <v>14890801.861083699</v>
          </cell>
          <cell r="AB5">
            <v>32104661.904764201</v>
          </cell>
          <cell r="AC5">
            <v>10466670.607873101</v>
          </cell>
          <cell r="AD5">
            <v>-1625621.61060477</v>
          </cell>
          <cell r="AE5">
            <v>-20824628.856763002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132131035.40947001</v>
          </cell>
          <cell r="AN5">
            <v>134964439.96744999</v>
          </cell>
          <cell r="AO5">
            <v>-127513991.70745</v>
          </cell>
          <cell r="AP5">
            <v>0</v>
          </cell>
          <cell r="AQ5">
            <v>7450448.2600002903</v>
          </cell>
        </row>
        <row r="6">
          <cell r="A6" t="str">
            <v>0_1_2004</v>
          </cell>
          <cell r="B6">
            <v>0</v>
          </cell>
          <cell r="C6">
            <v>1</v>
          </cell>
          <cell r="D6">
            <v>2004</v>
          </cell>
          <cell r="E6">
            <v>1982005795.96</v>
          </cell>
          <cell r="F6">
            <v>1989456244.22</v>
          </cell>
          <cell r="G6">
            <v>2005256516.76</v>
          </cell>
          <cell r="H6">
            <v>15800272.5399996</v>
          </cell>
          <cell r="I6">
            <v>2038892064.63008</v>
          </cell>
          <cell r="J6">
            <v>42885263.638746597</v>
          </cell>
          <cell r="K6">
            <v>52781898.322964899</v>
          </cell>
          <cell r="L6">
            <v>0.95192689072471104</v>
          </cell>
          <cell r="M6">
            <v>7255845.8122452199</v>
          </cell>
          <cell r="N6">
            <v>2.57184475903659</v>
          </cell>
          <cell r="O6">
            <v>39498.744641826597</v>
          </cell>
          <cell r="P6">
            <v>10.020799597011999</v>
          </cell>
          <cell r="Q6">
            <v>48.001535398150502</v>
          </cell>
          <cell r="R6">
            <v>3.9479789383814201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14858985.975418899</v>
          </cell>
          <cell r="Z6">
            <v>-15039078.3063318</v>
          </cell>
          <cell r="AA6">
            <v>17960858.0823141</v>
          </cell>
          <cell r="AB6">
            <v>33217281.546094399</v>
          </cell>
          <cell r="AC6">
            <v>15216253.2400127</v>
          </cell>
          <cell r="AD6">
            <v>-1671097.7800906899</v>
          </cell>
          <cell r="AE6">
            <v>-19744158.019365001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44799044.738052703</v>
          </cell>
          <cell r="AN6">
            <v>44657132.239862397</v>
          </cell>
          <cell r="AO6">
            <v>-28856859.6998627</v>
          </cell>
          <cell r="AP6">
            <v>0</v>
          </cell>
          <cell r="AQ6">
            <v>15800272.5399996</v>
          </cell>
        </row>
        <row r="7">
          <cell r="A7" t="str">
            <v>0_1_2005</v>
          </cell>
          <cell r="B7">
            <v>0</v>
          </cell>
          <cell r="C7">
            <v>1</v>
          </cell>
          <cell r="D7">
            <v>2005</v>
          </cell>
          <cell r="E7">
            <v>1982005795.96</v>
          </cell>
          <cell r="F7">
            <v>2005256516.76</v>
          </cell>
          <cell r="G7">
            <v>2027308341.5799999</v>
          </cell>
          <cell r="H7">
            <v>22051824.820000701</v>
          </cell>
          <cell r="I7">
            <v>2051459535.02037</v>
          </cell>
          <cell r="J7">
            <v>12567470.390288901</v>
          </cell>
          <cell r="K7">
            <v>51564837.805667304</v>
          </cell>
          <cell r="L7">
            <v>0.95632874409139801</v>
          </cell>
          <cell r="M7">
            <v>7425976.1607514601</v>
          </cell>
          <cell r="N7">
            <v>3.0278754080670098</v>
          </cell>
          <cell r="O7">
            <v>38481.097306977303</v>
          </cell>
          <cell r="P7">
            <v>9.8957132081634001</v>
          </cell>
          <cell r="Q7">
            <v>46.358998336221198</v>
          </cell>
          <cell r="R7">
            <v>3.9479789383814201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-34748716.953290999</v>
          </cell>
          <cell r="Z7">
            <v>-5217099.7383297104</v>
          </cell>
          <cell r="AA7">
            <v>18346612.535783499</v>
          </cell>
          <cell r="AB7">
            <v>43167395.657005802</v>
          </cell>
          <cell r="AC7">
            <v>13908939.910751101</v>
          </cell>
          <cell r="AD7">
            <v>-1885064.5419131301</v>
          </cell>
          <cell r="AE7">
            <v>-17712133.750411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15859933.1195956</v>
          </cell>
          <cell r="AN7">
            <v>14289432.4935163</v>
          </cell>
          <cell r="AO7">
            <v>7762392.3264843198</v>
          </cell>
          <cell r="AP7">
            <v>0</v>
          </cell>
          <cell r="AQ7">
            <v>22051824.820000701</v>
          </cell>
        </row>
        <row r="8">
          <cell r="A8" t="str">
            <v>0_1_2006</v>
          </cell>
          <cell r="B8">
            <v>0</v>
          </cell>
          <cell r="C8">
            <v>1</v>
          </cell>
          <cell r="D8">
            <v>2006</v>
          </cell>
          <cell r="E8">
            <v>1982005795.96</v>
          </cell>
          <cell r="F8">
            <v>2027308341.5799999</v>
          </cell>
          <cell r="G8">
            <v>2037579441.96</v>
          </cell>
          <cell r="H8">
            <v>10271100.380000699</v>
          </cell>
          <cell r="I8">
            <v>2111449515.88467</v>
          </cell>
          <cell r="J8">
            <v>59989980.864293098</v>
          </cell>
          <cell r="K8">
            <v>51619151.528246902</v>
          </cell>
          <cell r="L8">
            <v>0.94108684399246501</v>
          </cell>
          <cell r="M8">
            <v>7653758.1977867996</v>
          </cell>
          <cell r="N8">
            <v>3.3189073858290401</v>
          </cell>
          <cell r="O8">
            <v>36916.266631640399</v>
          </cell>
          <cell r="P8">
            <v>9.7970115789991699</v>
          </cell>
          <cell r="Q8">
            <v>44.531043564924801</v>
          </cell>
          <cell r="R8">
            <v>4.3148085271500296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5598070.7876798697</v>
          </cell>
          <cell r="Z8">
            <v>10082024.061600599</v>
          </cell>
          <cell r="AA8">
            <v>23350125.553405002</v>
          </cell>
          <cell r="AB8">
            <v>25074421.3214145</v>
          </cell>
          <cell r="AC8">
            <v>22670853.326227099</v>
          </cell>
          <cell r="AD8">
            <v>-1525514.2877553899</v>
          </cell>
          <cell r="AE8">
            <v>-19862488.235452302</v>
          </cell>
          <cell r="AF8">
            <v>-2147363.8358005802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63240128.691318803</v>
          </cell>
          <cell r="AN8">
            <v>63271256.074571498</v>
          </cell>
          <cell r="AO8">
            <v>-53000155.694570802</v>
          </cell>
          <cell r="AP8">
            <v>0</v>
          </cell>
          <cell r="AQ8">
            <v>10271100.380000699</v>
          </cell>
        </row>
        <row r="9">
          <cell r="A9" t="str">
            <v>0_1_2007</v>
          </cell>
          <cell r="B9">
            <v>0</v>
          </cell>
          <cell r="C9">
            <v>1</v>
          </cell>
          <cell r="D9">
            <v>2007</v>
          </cell>
          <cell r="E9">
            <v>1982005795.96</v>
          </cell>
          <cell r="F9">
            <v>2037579441.96</v>
          </cell>
          <cell r="G9">
            <v>2058514380.3499899</v>
          </cell>
          <cell r="H9">
            <v>20934938.389997199</v>
          </cell>
          <cell r="I9">
            <v>2131304168.75934</v>
          </cell>
          <cell r="J9">
            <v>19854652.874673001</v>
          </cell>
          <cell r="K9">
            <v>52714217.325170897</v>
          </cell>
          <cell r="L9">
            <v>0.97563671382010297</v>
          </cell>
          <cell r="M9">
            <v>7724917.1056259898</v>
          </cell>
          <cell r="N9">
            <v>3.4904721082377601</v>
          </cell>
          <cell r="O9">
            <v>37453.023944480199</v>
          </cell>
          <cell r="P9">
            <v>9.6137296788515201</v>
          </cell>
          <cell r="Q9">
            <v>43.881940918520002</v>
          </cell>
          <cell r="R9">
            <v>4.4245720341107297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39707341.847191297</v>
          </cell>
          <cell r="Z9">
            <v>-20385941.4434014</v>
          </cell>
          <cell r="AA9">
            <v>7751177.7756346799</v>
          </cell>
          <cell r="AB9">
            <v>13959297.741871299</v>
          </cell>
          <cell r="AC9">
            <v>-8104038.1064764</v>
          </cell>
          <cell r="AD9">
            <v>-2592116.0127329198</v>
          </cell>
          <cell r="AE9">
            <v>-7098774.9855081597</v>
          </cell>
          <cell r="AF9">
            <v>-731707.94856523594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22505238.868013099</v>
          </cell>
          <cell r="AN9">
            <v>21864377.636230901</v>
          </cell>
          <cell r="AO9">
            <v>-929439.24623365502</v>
          </cell>
          <cell r="AP9">
            <v>0</v>
          </cell>
          <cell r="AQ9">
            <v>20934938.389997199</v>
          </cell>
        </row>
        <row r="10">
          <cell r="A10" t="str">
            <v>0_1_2008</v>
          </cell>
          <cell r="B10">
            <v>0</v>
          </cell>
          <cell r="C10">
            <v>1</v>
          </cell>
          <cell r="D10">
            <v>2008</v>
          </cell>
          <cell r="E10">
            <v>1982005795.96</v>
          </cell>
          <cell r="F10">
            <v>2058514380.3499899</v>
          </cell>
          <cell r="G10">
            <v>2159213508.4299998</v>
          </cell>
          <cell r="H10">
            <v>100699128.080001</v>
          </cell>
          <cell r="I10">
            <v>2233299313.5462499</v>
          </cell>
          <cell r="J10">
            <v>101995144.78691</v>
          </cell>
          <cell r="K10">
            <v>53373827.418880001</v>
          </cell>
          <cell r="L10">
            <v>0.93387079184057298</v>
          </cell>
          <cell r="M10">
            <v>7772765.2908378402</v>
          </cell>
          <cell r="N10">
            <v>3.9164022364798399</v>
          </cell>
          <cell r="O10">
            <v>37497.459874480199</v>
          </cell>
          <cell r="P10">
            <v>9.7915426761424804</v>
          </cell>
          <cell r="Q10">
            <v>43.095951393756799</v>
          </cell>
          <cell r="R10">
            <v>4.5002073632750399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7.6496247391932296E-2</v>
          </cell>
          <cell r="X10">
            <v>0</v>
          </cell>
          <cell r="Y10">
            <v>35569324.878848098</v>
          </cell>
          <cell r="Z10">
            <v>25255273.607143201</v>
          </cell>
          <cell r="AA10">
            <v>5683929.5188827598</v>
          </cell>
          <cell r="AB10">
            <v>33276852.581209201</v>
          </cell>
          <cell r="AC10">
            <v>-675166.98916859599</v>
          </cell>
          <cell r="AD10">
            <v>2466795.8584225602</v>
          </cell>
          <cell r="AE10">
            <v>-8704013.40038619</v>
          </cell>
          <cell r="AF10">
            <v>-505423.53572935303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2734634.3054004</v>
          </cell>
          <cell r="AL10">
            <v>0</v>
          </cell>
          <cell r="AM10">
            <v>95102206.824622303</v>
          </cell>
          <cell r="AN10">
            <v>98944884.744145498</v>
          </cell>
          <cell r="AO10">
            <v>1754243.33585562</v>
          </cell>
          <cell r="AP10">
            <v>0</v>
          </cell>
          <cell r="AQ10">
            <v>100699128.080001</v>
          </cell>
        </row>
        <row r="11">
          <cell r="A11" t="str">
            <v>0_1_2009</v>
          </cell>
          <cell r="B11">
            <v>0</v>
          </cell>
          <cell r="C11">
            <v>1</v>
          </cell>
          <cell r="D11">
            <v>2009</v>
          </cell>
          <cell r="E11">
            <v>1982005795.96</v>
          </cell>
          <cell r="F11">
            <v>2159213508.4299998</v>
          </cell>
          <cell r="G11">
            <v>2073487038.28</v>
          </cell>
          <cell r="H11">
            <v>-85726470.149999797</v>
          </cell>
          <cell r="I11">
            <v>2090791533.1921599</v>
          </cell>
          <cell r="J11">
            <v>-142507780.35409001</v>
          </cell>
          <cell r="K11">
            <v>53288697.102424197</v>
          </cell>
          <cell r="L11">
            <v>1.0317452836382901</v>
          </cell>
          <cell r="M11">
            <v>7745481.23211521</v>
          </cell>
          <cell r="N11">
            <v>2.8613463106180999</v>
          </cell>
          <cell r="O11">
            <v>35760.626394547202</v>
          </cell>
          <cell r="P11">
            <v>9.9377664452826906</v>
          </cell>
          <cell r="Q11">
            <v>42.158846073139003</v>
          </cell>
          <cell r="R11">
            <v>4.6904854674923504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7.6496247391932296E-2</v>
          </cell>
          <cell r="X11">
            <v>0</v>
          </cell>
          <cell r="Y11">
            <v>-4782853.4183069998</v>
          </cell>
          <cell r="Z11">
            <v>-63621596.392088503</v>
          </cell>
          <cell r="AA11">
            <v>-1473131.0837824</v>
          </cell>
          <cell r="AB11">
            <v>-90147911.714342803</v>
          </cell>
          <cell r="AC11">
            <v>29211014.582727201</v>
          </cell>
          <cell r="AD11">
            <v>2238488.2148257201</v>
          </cell>
          <cell r="AE11">
            <v>-11280334.2594142</v>
          </cell>
          <cell r="AF11">
            <v>-1204891.4289271899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-141061215.499309</v>
          </cell>
          <cell r="AN11">
            <v>-139331018.16473699</v>
          </cell>
          <cell r="AO11">
            <v>53604548.014737502</v>
          </cell>
          <cell r="AP11">
            <v>0</v>
          </cell>
          <cell r="AQ11">
            <v>-85726470.149999797</v>
          </cell>
        </row>
        <row r="12">
          <cell r="A12" t="str">
            <v>0_1_2010</v>
          </cell>
          <cell r="B12">
            <v>0</v>
          </cell>
          <cell r="C12">
            <v>1</v>
          </cell>
          <cell r="D12">
            <v>2010</v>
          </cell>
          <cell r="E12">
            <v>1982005795.96</v>
          </cell>
          <cell r="F12">
            <v>2073487038.28</v>
          </cell>
          <cell r="G12">
            <v>2006777276.8699999</v>
          </cell>
          <cell r="H12">
            <v>-66709761.409998998</v>
          </cell>
          <cell r="I12">
            <v>2052079946.4800799</v>
          </cell>
          <cell r="J12">
            <v>-38711586.712074898</v>
          </cell>
          <cell r="K12">
            <v>50477491.032349497</v>
          </cell>
          <cell r="L12">
            <v>1.06277026274047</v>
          </cell>
          <cell r="M12">
            <v>7755004.4617863204</v>
          </cell>
          <cell r="N12">
            <v>3.3160361555710001</v>
          </cell>
          <cell r="O12">
            <v>34836.138545565504</v>
          </cell>
          <cell r="P12">
            <v>10.1406948951419</v>
          </cell>
          <cell r="Q12">
            <v>41.684893621935302</v>
          </cell>
          <cell r="R12">
            <v>4.9276273848823298</v>
          </cell>
          <cell r="S12">
            <v>0.16349572960912701</v>
          </cell>
          <cell r="T12">
            <v>0</v>
          </cell>
          <cell r="U12">
            <v>0</v>
          </cell>
          <cell r="V12">
            <v>0</v>
          </cell>
          <cell r="W12">
            <v>0.14858457201804401</v>
          </cell>
          <cell r="X12">
            <v>0</v>
          </cell>
          <cell r="Y12">
            <v>-71064888.041222095</v>
          </cell>
          <cell r="Z12">
            <v>-17824527.549885601</v>
          </cell>
          <cell r="AA12">
            <v>2002182.0492676401</v>
          </cell>
          <cell r="AB12">
            <v>41136548.147473998</v>
          </cell>
          <cell r="AC12">
            <v>15500007.4189585</v>
          </cell>
          <cell r="AD12">
            <v>2916828.8596050399</v>
          </cell>
          <cell r="AE12">
            <v>-5563187.4459224399</v>
          </cell>
          <cell r="AF12">
            <v>-1451770.7291632099</v>
          </cell>
          <cell r="AG12">
            <v>-3861484.5228403602</v>
          </cell>
          <cell r="AH12">
            <v>0</v>
          </cell>
          <cell r="AI12">
            <v>0</v>
          </cell>
          <cell r="AJ12">
            <v>0</v>
          </cell>
          <cell r="AK12">
            <v>2278562.3532980499</v>
          </cell>
          <cell r="AL12">
            <v>0</v>
          </cell>
          <cell r="AM12">
            <v>-35931729.460430503</v>
          </cell>
          <cell r="AN12">
            <v>-36059625.766734801</v>
          </cell>
          <cell r="AO12">
            <v>-30650135.643264201</v>
          </cell>
          <cell r="AP12">
            <v>0</v>
          </cell>
          <cell r="AQ12">
            <v>-66709761.409998998</v>
          </cell>
        </row>
        <row r="13">
          <cell r="A13" t="str">
            <v>0_1_2011</v>
          </cell>
          <cell r="B13">
            <v>0</v>
          </cell>
          <cell r="C13">
            <v>1</v>
          </cell>
          <cell r="D13">
            <v>2011</v>
          </cell>
          <cell r="E13">
            <v>1982005795.96</v>
          </cell>
          <cell r="F13">
            <v>2006777276.8699999</v>
          </cell>
          <cell r="G13">
            <v>2038141150.5599999</v>
          </cell>
          <cell r="H13">
            <v>31363873.689998899</v>
          </cell>
          <cell r="I13">
            <v>2084090855.4311399</v>
          </cell>
          <cell r="J13">
            <v>32010908.951051999</v>
          </cell>
          <cell r="K13">
            <v>49319062.1553571</v>
          </cell>
          <cell r="L13">
            <v>1.04274202161504</v>
          </cell>
          <cell r="M13">
            <v>7835845.1902625496</v>
          </cell>
          <cell r="N13">
            <v>4.0544672689716403</v>
          </cell>
          <cell r="O13">
            <v>34275.857544148203</v>
          </cell>
          <cell r="P13">
            <v>10.4057786444501</v>
          </cell>
          <cell r="Q13">
            <v>40.918324264493698</v>
          </cell>
          <cell r="R13">
            <v>4.8649150580478899</v>
          </cell>
          <cell r="S13">
            <v>0.63292140278146602</v>
          </cell>
          <cell r="T13">
            <v>0</v>
          </cell>
          <cell r="U13">
            <v>0</v>
          </cell>
          <cell r="V13">
            <v>0</v>
          </cell>
          <cell r="W13">
            <v>0.20355403543842199</v>
          </cell>
          <cell r="X13">
            <v>0</v>
          </cell>
          <cell r="Y13">
            <v>-40181533.355351098</v>
          </cell>
          <cell r="Z13">
            <v>15322710.399470299</v>
          </cell>
          <cell r="AA13">
            <v>8497432.3227526695</v>
          </cell>
          <cell r="AB13">
            <v>56740870.446837001</v>
          </cell>
          <cell r="AC13">
            <v>8606390.5169233494</v>
          </cell>
          <cell r="AD13">
            <v>3860938.6203019</v>
          </cell>
          <cell r="AE13">
            <v>-8375600.4785643797</v>
          </cell>
          <cell r="AF13">
            <v>414833.62961664802</v>
          </cell>
          <cell r="AG13">
            <v>-12057002.6989104</v>
          </cell>
          <cell r="AH13">
            <v>0</v>
          </cell>
          <cell r="AI13">
            <v>0</v>
          </cell>
          <cell r="AJ13">
            <v>0</v>
          </cell>
          <cell r="AK13">
            <v>1698305.52754262</v>
          </cell>
          <cell r="AL13">
            <v>0</v>
          </cell>
          <cell r="AM13">
            <v>34527344.930618599</v>
          </cell>
          <cell r="AN13">
            <v>33561714.230953999</v>
          </cell>
          <cell r="AO13">
            <v>-2197840.5409551002</v>
          </cell>
          <cell r="AP13">
            <v>0</v>
          </cell>
          <cell r="AQ13">
            <v>31363873.689998899</v>
          </cell>
        </row>
        <row r="14">
          <cell r="A14" t="str">
            <v>0_1_2012</v>
          </cell>
          <cell r="B14">
            <v>0</v>
          </cell>
          <cell r="C14">
            <v>1</v>
          </cell>
          <cell r="D14">
            <v>2012</v>
          </cell>
          <cell r="E14">
            <v>1982005795.96</v>
          </cell>
          <cell r="F14">
            <v>2038141150.5599999</v>
          </cell>
          <cell r="G14">
            <v>2071410232.5</v>
          </cell>
          <cell r="H14">
            <v>33269081.9399997</v>
          </cell>
          <cell r="I14">
            <v>2040396863.42256</v>
          </cell>
          <cell r="J14">
            <v>-43693992.008577198</v>
          </cell>
          <cell r="K14">
            <v>48778969.139516801</v>
          </cell>
          <cell r="L14">
            <v>1.08046571906467</v>
          </cell>
          <cell r="M14">
            <v>7937154.0910799</v>
          </cell>
          <cell r="N14">
            <v>4.0873938730295398</v>
          </cell>
          <cell r="O14">
            <v>34150.688170845599</v>
          </cell>
          <cell r="P14">
            <v>10.314420342970701</v>
          </cell>
          <cell r="Q14">
            <v>40.878820848083699</v>
          </cell>
          <cell r="R14">
            <v>4.9469925011974398</v>
          </cell>
          <cell r="S14">
            <v>1.3892425646395801</v>
          </cell>
          <cell r="T14">
            <v>0</v>
          </cell>
          <cell r="U14">
            <v>0</v>
          </cell>
          <cell r="V14">
            <v>0</v>
          </cell>
          <cell r="W14">
            <v>0.25079276611763801</v>
          </cell>
          <cell r="X14">
            <v>0</v>
          </cell>
          <cell r="Y14">
            <v>-13607589.765833801</v>
          </cell>
          <cell r="Z14">
            <v>-22340810.702362701</v>
          </cell>
          <cell r="AA14">
            <v>10577677.354012599</v>
          </cell>
          <cell r="AB14">
            <v>2216451.6482136999</v>
          </cell>
          <cell r="AC14">
            <v>2904369.3381795702</v>
          </cell>
          <cell r="AD14">
            <v>-1396245.7504827899</v>
          </cell>
          <cell r="AE14">
            <v>-343883.12016486999</v>
          </cell>
          <cell r="AF14">
            <v>-645260.62301078904</v>
          </cell>
          <cell r="AG14">
            <v>-20082763.361682899</v>
          </cell>
          <cell r="AH14">
            <v>0</v>
          </cell>
          <cell r="AI14">
            <v>0</v>
          </cell>
          <cell r="AJ14">
            <v>0</v>
          </cell>
          <cell r="AK14">
            <v>989105.41772997798</v>
          </cell>
          <cell r="AL14">
            <v>0</v>
          </cell>
          <cell r="AM14">
            <v>-41728949.565402098</v>
          </cell>
          <cell r="AN14">
            <v>-41567977.711525798</v>
          </cell>
          <cell r="AO14">
            <v>74837059.651525602</v>
          </cell>
          <cell r="AP14">
            <v>0</v>
          </cell>
          <cell r="AQ14">
            <v>33269081.9399997</v>
          </cell>
        </row>
        <row r="15">
          <cell r="A15" t="str">
            <v>0_1_2013</v>
          </cell>
          <cell r="B15">
            <v>0</v>
          </cell>
          <cell r="C15">
            <v>1</v>
          </cell>
          <cell r="D15">
            <v>2013</v>
          </cell>
          <cell r="E15">
            <v>1982005795.96</v>
          </cell>
          <cell r="F15">
            <v>2071410232.5</v>
          </cell>
          <cell r="G15">
            <v>2072288372.99</v>
          </cell>
          <cell r="H15">
            <v>878140.49000031501</v>
          </cell>
          <cell r="I15">
            <v>2020423212.8999701</v>
          </cell>
          <cell r="J15">
            <v>-19973650.522590201</v>
          </cell>
          <cell r="K15">
            <v>49610749.1752517</v>
          </cell>
          <cell r="L15">
            <v>1.1104609294024499</v>
          </cell>
          <cell r="M15">
            <v>8025235.1585930204</v>
          </cell>
          <cell r="N15">
            <v>3.9222313615073698</v>
          </cell>
          <cell r="O15">
            <v>34445.965549065702</v>
          </cell>
          <cell r="P15">
            <v>10.0458607060894</v>
          </cell>
          <cell r="Q15">
            <v>40.852316643461499</v>
          </cell>
          <cell r="R15">
            <v>4.9509370327779996</v>
          </cell>
          <cell r="S15">
            <v>2.2225746763552299</v>
          </cell>
          <cell r="T15">
            <v>0</v>
          </cell>
          <cell r="U15">
            <v>0</v>
          </cell>
          <cell r="V15">
            <v>0</v>
          </cell>
          <cell r="W15">
            <v>0.25079276611763801</v>
          </cell>
          <cell r="X15">
            <v>0</v>
          </cell>
          <cell r="Y15">
            <v>30261105.473729301</v>
          </cell>
          <cell r="Z15">
            <v>-16125712.701229</v>
          </cell>
          <cell r="AA15">
            <v>9645146.6889573894</v>
          </cell>
          <cell r="AB15">
            <v>-11868515.7724318</v>
          </cell>
          <cell r="AC15">
            <v>-4849996.3330890303</v>
          </cell>
          <cell r="AD15">
            <v>-3593957.3471187698</v>
          </cell>
          <cell r="AE15">
            <v>-295501.26651126298</v>
          </cell>
          <cell r="AF15">
            <v>-7457.63808997043</v>
          </cell>
          <cell r="AG15">
            <v>-22492412.659255601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-19327301.555038702</v>
          </cell>
          <cell r="AN15">
            <v>-19480106.7291926</v>
          </cell>
          <cell r="AO15">
            <v>20358247.2191929</v>
          </cell>
          <cell r="AP15">
            <v>0</v>
          </cell>
          <cell r="AQ15">
            <v>878140.49000031501</v>
          </cell>
        </row>
        <row r="16">
          <cell r="A16" t="str">
            <v>0_1_2014</v>
          </cell>
          <cell r="B16">
            <v>0</v>
          </cell>
          <cell r="C16">
            <v>1</v>
          </cell>
          <cell r="D16">
            <v>2014</v>
          </cell>
          <cell r="E16">
            <v>1982005795.96</v>
          </cell>
          <cell r="F16">
            <v>2072288372.99</v>
          </cell>
          <cell r="G16">
            <v>2061553202.9300001</v>
          </cell>
          <cell r="H16">
            <v>-10735170.0599996</v>
          </cell>
          <cell r="I16">
            <v>2000211236.73931</v>
          </cell>
          <cell r="J16">
            <v>-20211976.1606602</v>
          </cell>
          <cell r="K16">
            <v>49617653.565965801</v>
          </cell>
          <cell r="L16">
            <v>1.1085994785009301</v>
          </cell>
          <cell r="M16">
            <v>8134601.0257977303</v>
          </cell>
          <cell r="N16">
            <v>3.7131944769069198</v>
          </cell>
          <cell r="O16">
            <v>34754.338327604899</v>
          </cell>
          <cell r="P16">
            <v>10.023007743929201</v>
          </cell>
          <cell r="Q16">
            <v>40.852507831566598</v>
          </cell>
          <cell r="R16">
            <v>5.1379719668072603</v>
          </cell>
          <cell r="S16">
            <v>3.2225746763552299</v>
          </cell>
          <cell r="T16">
            <v>0</v>
          </cell>
          <cell r="U16">
            <v>0</v>
          </cell>
          <cell r="V16">
            <v>0</v>
          </cell>
          <cell r="W16">
            <v>0.58215863595450601</v>
          </cell>
          <cell r="X16">
            <v>0</v>
          </cell>
          <cell r="Y16">
            <v>6998942.5925363703</v>
          </cell>
          <cell r="Z16">
            <v>-129556.862135185</v>
          </cell>
          <cell r="AA16">
            <v>11289444.2067378</v>
          </cell>
          <cell r="AB16">
            <v>-15741770.3392531</v>
          </cell>
          <cell r="AC16">
            <v>-4929091.3576107798</v>
          </cell>
          <cell r="AD16">
            <v>-637248.03456782398</v>
          </cell>
          <cell r="AE16">
            <v>200984.945279023</v>
          </cell>
          <cell r="AF16">
            <v>-1256949.7416145999</v>
          </cell>
          <cell r="AG16">
            <v>-26645891.121726502</v>
          </cell>
          <cell r="AH16">
            <v>0</v>
          </cell>
          <cell r="AI16">
            <v>0</v>
          </cell>
          <cell r="AJ16">
            <v>0</v>
          </cell>
          <cell r="AK16">
            <v>10676855.2261317</v>
          </cell>
          <cell r="AL16">
            <v>0</v>
          </cell>
          <cell r="AM16">
            <v>-20174280.486223102</v>
          </cell>
          <cell r="AN16">
            <v>-20536394.546849102</v>
          </cell>
          <cell r="AO16">
            <v>9801224.4868495408</v>
          </cell>
          <cell r="AP16">
            <v>0</v>
          </cell>
          <cell r="AQ16">
            <v>-10735170.0599996</v>
          </cell>
        </row>
        <row r="17">
          <cell r="A17" t="str">
            <v>0_1_2015</v>
          </cell>
          <cell r="B17">
            <v>0</v>
          </cell>
          <cell r="C17">
            <v>1</v>
          </cell>
          <cell r="D17">
            <v>2015</v>
          </cell>
          <cell r="E17">
            <v>1982005795.96</v>
          </cell>
          <cell r="F17">
            <v>2061553202.9300001</v>
          </cell>
          <cell r="G17">
            <v>2028750453.3499999</v>
          </cell>
          <cell r="H17">
            <v>-32802749.580000099</v>
          </cell>
          <cell r="I17">
            <v>1918608067.57216</v>
          </cell>
          <cell r="J17">
            <v>-81603169.167153299</v>
          </cell>
          <cell r="K17">
            <v>50426283.302964203</v>
          </cell>
          <cell r="L17">
            <v>1.1220928005844</v>
          </cell>
          <cell r="M17">
            <v>8230440.1908660801</v>
          </cell>
          <cell r="N17">
            <v>2.76715273083131</v>
          </cell>
          <cell r="O17">
            <v>35929.964204060001</v>
          </cell>
          <cell r="P17">
            <v>9.9360436529274008</v>
          </cell>
          <cell r="Q17">
            <v>40.883902606181501</v>
          </cell>
          <cell r="R17">
            <v>5.2454096237288699</v>
          </cell>
          <cell r="S17">
            <v>4.2225746763552303</v>
          </cell>
          <cell r="T17">
            <v>0</v>
          </cell>
          <cell r="U17">
            <v>0</v>
          </cell>
          <cell r="V17">
            <v>0</v>
          </cell>
          <cell r="W17">
            <v>0.90132351811551004</v>
          </cell>
          <cell r="X17">
            <v>0</v>
          </cell>
          <cell r="Y17">
            <v>32676381.4395556</v>
          </cell>
          <cell r="Z17">
            <v>-9885858.7926116195</v>
          </cell>
          <cell r="AA17">
            <v>10214784.090726599</v>
          </cell>
          <cell r="AB17">
            <v>-80372042.952035099</v>
          </cell>
          <cell r="AC17">
            <v>-18095714.298998799</v>
          </cell>
          <cell r="AD17">
            <v>-1061829.0654498399</v>
          </cell>
          <cell r="AE17">
            <v>434922.44341572298</v>
          </cell>
          <cell r="AF17">
            <v>-585177.17204295099</v>
          </cell>
          <cell r="AG17">
            <v>-26507856.1955452</v>
          </cell>
          <cell r="AH17">
            <v>0</v>
          </cell>
          <cell r="AI17">
            <v>0</v>
          </cell>
          <cell r="AJ17">
            <v>0</v>
          </cell>
          <cell r="AK17">
            <v>9214414.4661997408</v>
          </cell>
          <cell r="AL17">
            <v>0</v>
          </cell>
          <cell r="AM17">
            <v>-83967976.036786005</v>
          </cell>
          <cell r="AN17">
            <v>-84085794.384618893</v>
          </cell>
          <cell r="AO17">
            <v>51283044.804618798</v>
          </cell>
          <cell r="AP17">
            <v>0</v>
          </cell>
          <cell r="AQ17">
            <v>-32802749.580000099</v>
          </cell>
        </row>
        <row r="18">
          <cell r="A18" t="str">
            <v>0_1_2016</v>
          </cell>
          <cell r="B18">
            <v>0</v>
          </cell>
          <cell r="C18">
            <v>1</v>
          </cell>
          <cell r="D18">
            <v>2016</v>
          </cell>
          <cell r="E18">
            <v>1982005795.96</v>
          </cell>
          <cell r="F18">
            <v>2028750453.3499999</v>
          </cell>
          <cell r="G18">
            <v>1944704725.54</v>
          </cell>
          <cell r="H18">
            <v>-84045727.810000002</v>
          </cell>
          <cell r="I18">
            <v>1870448351.20544</v>
          </cell>
          <cell r="J18">
            <v>-48159716.366715699</v>
          </cell>
          <cell r="K18">
            <v>51170483.274555102</v>
          </cell>
          <cell r="L18">
            <v>1.14107392251718</v>
          </cell>
          <cell r="M18">
            <v>8305487.4310387298</v>
          </cell>
          <cell r="N18">
            <v>2.4508103105144601</v>
          </cell>
          <cell r="O18">
            <v>36739.208215965496</v>
          </cell>
          <cell r="P18">
            <v>9.8157797442903192</v>
          </cell>
          <cell r="Q18">
            <v>40.983856099556903</v>
          </cell>
          <cell r="R18">
            <v>5.7603430057312499</v>
          </cell>
          <cell r="S18">
            <v>5.2225746763552303</v>
          </cell>
          <cell r="T18">
            <v>0</v>
          </cell>
          <cell r="U18">
            <v>0</v>
          </cell>
          <cell r="V18">
            <v>0</v>
          </cell>
          <cell r="W18">
            <v>0.97807606224534105</v>
          </cell>
          <cell r="X18">
            <v>0</v>
          </cell>
          <cell r="Y18">
            <v>21557904.3169882</v>
          </cell>
          <cell r="Z18">
            <v>-10670628.621276701</v>
          </cell>
          <cell r="AA18">
            <v>8134768.24412861</v>
          </cell>
          <cell r="AB18">
            <v>-30757229.8204813</v>
          </cell>
          <cell r="AC18">
            <v>-11936511.7756317</v>
          </cell>
          <cell r="AD18">
            <v>-1693219.23886861</v>
          </cell>
          <cell r="AE18">
            <v>1028974.8868583801</v>
          </cell>
          <cell r="AF18">
            <v>-3100839.9903968601</v>
          </cell>
          <cell r="AG18">
            <v>-26086071.995433699</v>
          </cell>
          <cell r="AH18">
            <v>0</v>
          </cell>
          <cell r="AI18">
            <v>0</v>
          </cell>
          <cell r="AJ18">
            <v>0</v>
          </cell>
          <cell r="AK18">
            <v>2197032.9831991899</v>
          </cell>
          <cell r="AL18">
            <v>0</v>
          </cell>
          <cell r="AM18">
            <v>-51325821.010914497</v>
          </cell>
          <cell r="AN18">
            <v>-51263135.6730133</v>
          </cell>
          <cell r="AO18">
            <v>-32782592.136986699</v>
          </cell>
          <cell r="AP18">
            <v>0</v>
          </cell>
          <cell r="AQ18">
            <v>-84045727.810000002</v>
          </cell>
        </row>
        <row r="19">
          <cell r="A19" t="str">
            <v>0_1_2017</v>
          </cell>
          <cell r="B19">
            <v>0</v>
          </cell>
          <cell r="C19">
            <v>1</v>
          </cell>
          <cell r="D19">
            <v>2017</v>
          </cell>
          <cell r="E19">
            <v>1982005795.96</v>
          </cell>
          <cell r="F19">
            <v>1944704725.54</v>
          </cell>
          <cell r="G19">
            <v>1874629430.3199999</v>
          </cell>
          <cell r="H19">
            <v>-70075295.220000103</v>
          </cell>
          <cell r="I19">
            <v>1900043381.20434</v>
          </cell>
          <cell r="J19">
            <v>29595029.998903099</v>
          </cell>
          <cell r="K19">
            <v>51744850.102946602</v>
          </cell>
          <cell r="L19">
            <v>1.1064619154751101</v>
          </cell>
          <cell r="M19">
            <v>8399260.8914992604</v>
          </cell>
          <cell r="N19">
            <v>2.6703515488898</v>
          </cell>
          <cell r="O19">
            <v>37339.930413868497</v>
          </cell>
          <cell r="P19">
            <v>9.6628115722948706</v>
          </cell>
          <cell r="Q19">
            <v>41.021127979784701</v>
          </cell>
          <cell r="R19">
            <v>5.9215337785000397</v>
          </cell>
          <cell r="S19">
            <v>6.2225746763552303</v>
          </cell>
          <cell r="T19">
            <v>0</v>
          </cell>
          <cell r="U19">
            <v>0</v>
          </cell>
          <cell r="V19">
            <v>0</v>
          </cell>
          <cell r="W19">
            <v>0.97807606224534105</v>
          </cell>
          <cell r="X19">
            <v>0</v>
          </cell>
          <cell r="Y19">
            <v>17103963.4136011</v>
          </cell>
          <cell r="Z19">
            <v>18645283.2225587</v>
          </cell>
          <cell r="AA19">
            <v>9267335.8062921297</v>
          </cell>
          <cell r="AB19">
            <v>21229304.2730776</v>
          </cell>
          <cell r="AC19">
            <v>-9057946.9539233707</v>
          </cell>
          <cell r="AD19">
            <v>-2134344.2951190402</v>
          </cell>
          <cell r="AE19">
            <v>374237.54468727298</v>
          </cell>
          <cell r="AF19">
            <v>-948079.97853902902</v>
          </cell>
          <cell r="AG19">
            <v>-25005395.5115714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29474357.521063901</v>
          </cell>
          <cell r="AN19">
            <v>29408786.634902999</v>
          </cell>
          <cell r="AO19">
            <v>-99484081.854903102</v>
          </cell>
          <cell r="AP19">
            <v>0</v>
          </cell>
          <cell r="AQ19">
            <v>-70075295.220000103</v>
          </cell>
        </row>
        <row r="20">
          <cell r="A20" t="str">
            <v>0_1_2018</v>
          </cell>
          <cell r="B20">
            <v>0</v>
          </cell>
          <cell r="C20">
            <v>1</v>
          </cell>
          <cell r="D20">
            <v>2018</v>
          </cell>
          <cell r="E20">
            <v>1982005795.96</v>
          </cell>
          <cell r="F20">
            <v>1874629430.3199999</v>
          </cell>
          <cell r="G20">
            <v>1830572626.3499899</v>
          </cell>
          <cell r="H20">
            <v>-44056803.970000602</v>
          </cell>
          <cell r="I20">
            <v>1858989004.65239</v>
          </cell>
          <cell r="J20">
            <v>-41054376.551953703</v>
          </cell>
          <cell r="K20">
            <v>51942398.1681339</v>
          </cell>
          <cell r="L20">
            <v>1.0767597388407599</v>
          </cell>
          <cell r="M20">
            <v>8481156.0926418807</v>
          </cell>
          <cell r="N20">
            <v>2.9560754566985299</v>
          </cell>
          <cell r="O20">
            <v>38094.696885668702</v>
          </cell>
          <cell r="P20">
            <v>9.5234524029876901</v>
          </cell>
          <cell r="Q20">
            <v>41.073403477542698</v>
          </cell>
          <cell r="R20">
            <v>6.1711602035772204</v>
          </cell>
          <cell r="S20">
            <v>7.2225746763552303</v>
          </cell>
          <cell r="T20">
            <v>0</v>
          </cell>
          <cell r="U20">
            <v>0</v>
          </cell>
          <cell r="V20">
            <v>0</v>
          </cell>
          <cell r="W20">
            <v>1</v>
          </cell>
          <cell r="X20">
            <v>0.66313958588773203</v>
          </cell>
          <cell r="Y20">
            <v>10304113.396397701</v>
          </cell>
          <cell r="Z20">
            <v>15350149.852120001</v>
          </cell>
          <cell r="AA20">
            <v>7689236.0380116804</v>
          </cell>
          <cell r="AB20">
            <v>24787534.827645499</v>
          </cell>
          <cell r="AC20">
            <v>-10460284.383191099</v>
          </cell>
          <cell r="AD20">
            <v>-1888340.75092155</v>
          </cell>
          <cell r="AE20">
            <v>501951.30948506598</v>
          </cell>
          <cell r="AF20">
            <v>-1401352.39163396</v>
          </cell>
          <cell r="AG20">
            <v>-24104353.595256999</v>
          </cell>
          <cell r="AH20">
            <v>0</v>
          </cell>
          <cell r="AI20">
            <v>0</v>
          </cell>
          <cell r="AJ20">
            <v>0</v>
          </cell>
          <cell r="AK20">
            <v>425279.174070312</v>
          </cell>
          <cell r="AL20">
            <v>-61224588.800484002</v>
          </cell>
          <cell r="AM20">
            <v>-40020655.323757298</v>
          </cell>
          <cell r="AN20">
            <v>-41015388.758675203</v>
          </cell>
          <cell r="AO20">
            <v>-3041415.21132536</v>
          </cell>
          <cell r="AP20">
            <v>0</v>
          </cell>
          <cell r="AQ20">
            <v>-44056803.970000602</v>
          </cell>
        </row>
        <row r="21">
          <cell r="A21" t="str">
            <v>0_2_2002</v>
          </cell>
          <cell r="B21">
            <v>0</v>
          </cell>
          <cell r="C21">
            <v>2</v>
          </cell>
          <cell r="D21">
            <v>2002</v>
          </cell>
          <cell r="E21">
            <v>826844308.60800004</v>
          </cell>
          <cell r="F21">
            <v>0</v>
          </cell>
          <cell r="G21">
            <v>826844308.60800004</v>
          </cell>
          <cell r="H21">
            <v>0</v>
          </cell>
          <cell r="I21">
            <v>785343410.91812301</v>
          </cell>
          <cell r="J21">
            <v>0</v>
          </cell>
          <cell r="K21">
            <v>13182251.3176105</v>
          </cell>
          <cell r="L21">
            <v>0.86995931295744799</v>
          </cell>
          <cell r="M21">
            <v>2342698.4265177799</v>
          </cell>
          <cell r="N21">
            <v>1.9330972179496</v>
          </cell>
          <cell r="O21">
            <v>35729.203733812901</v>
          </cell>
          <cell r="P21">
            <v>7.95231774721967</v>
          </cell>
          <cell r="Q21">
            <v>34.140199231586003</v>
          </cell>
          <cell r="R21">
            <v>3.4118555730131299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3.9715989646569097E-2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826844308.60800004</v>
          </cell>
          <cell r="AQ21">
            <v>826844308.60800004</v>
          </cell>
        </row>
        <row r="22">
          <cell r="A22" t="str">
            <v>0_2_2003</v>
          </cell>
          <cell r="B22">
            <v>0</v>
          </cell>
          <cell r="C22">
            <v>2</v>
          </cell>
          <cell r="D22">
            <v>2003</v>
          </cell>
          <cell r="E22">
            <v>833464644.60800004</v>
          </cell>
          <cell r="F22">
            <v>826844308.60800004</v>
          </cell>
          <cell r="G22">
            <v>828033113.74899995</v>
          </cell>
          <cell r="H22">
            <v>-5431530.8590000104</v>
          </cell>
          <cell r="I22">
            <v>813050348.88709199</v>
          </cell>
          <cell r="J22">
            <v>20718976.7996957</v>
          </cell>
          <cell r="K22">
            <v>13160356.087328</v>
          </cell>
          <cell r="L22">
            <v>0.87241420432272698</v>
          </cell>
          <cell r="M22">
            <v>2373994.01093113</v>
          </cell>
          <cell r="N22">
            <v>2.18984900450207</v>
          </cell>
          <cell r="O22">
            <v>34934.538686562599</v>
          </cell>
          <cell r="P22">
            <v>7.85675571062598</v>
          </cell>
          <cell r="Q22">
            <v>32.742217849672102</v>
          </cell>
          <cell r="R22">
            <v>3.4173216084984399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3.9400519521070897E-2</v>
          </cell>
          <cell r="X22">
            <v>0</v>
          </cell>
          <cell r="Y22">
            <v>11775414.6802419</v>
          </cell>
          <cell r="Z22">
            <v>-2264396.6738708601</v>
          </cell>
          <cell r="AA22">
            <v>6654933.0589774298</v>
          </cell>
          <cell r="AB22">
            <v>12265544.142089801</v>
          </cell>
          <cell r="AC22">
            <v>4447436.8350851098</v>
          </cell>
          <cell r="AD22">
            <v>-445959.600852034</v>
          </cell>
          <cell r="AE22">
            <v>-6407737.5543064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26025234.887364902</v>
          </cell>
          <cell r="AN22">
            <v>24948306.2138151</v>
          </cell>
          <cell r="AO22">
            <v>-30379837.072815198</v>
          </cell>
          <cell r="AP22">
            <v>6620335.9999999898</v>
          </cell>
          <cell r="AQ22">
            <v>1188805.14099998</v>
          </cell>
        </row>
        <row r="23">
          <cell r="A23" t="str">
            <v>0_2_2004</v>
          </cell>
          <cell r="B23">
            <v>0</v>
          </cell>
          <cell r="C23">
            <v>2</v>
          </cell>
          <cell r="D23">
            <v>2004</v>
          </cell>
          <cell r="E23">
            <v>849992306.96800005</v>
          </cell>
          <cell r="F23">
            <v>828033113.74899995</v>
          </cell>
          <cell r="G23">
            <v>843165072.45699894</v>
          </cell>
          <cell r="H23">
            <v>-1395703.65200022</v>
          </cell>
          <cell r="I23">
            <v>850470120.61998296</v>
          </cell>
          <cell r="J23">
            <v>21455796.376589201</v>
          </cell>
          <cell r="K23">
            <v>12694847.964590499</v>
          </cell>
          <cell r="L23">
            <v>0.86101809695644704</v>
          </cell>
          <cell r="M23">
            <v>2387167.5204925798</v>
          </cell>
          <cell r="N23">
            <v>2.5115033123946899</v>
          </cell>
          <cell r="O23">
            <v>33912.154516616501</v>
          </cell>
          <cell r="P23">
            <v>7.73155475249545</v>
          </cell>
          <cell r="Q23">
            <v>31.395239163424201</v>
          </cell>
          <cell r="R23">
            <v>3.4306824364425399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3.8634396724294397E-2</v>
          </cell>
          <cell r="X23">
            <v>0</v>
          </cell>
          <cell r="Y23">
            <v>-10157495.237379899</v>
          </cell>
          <cell r="Z23">
            <v>5752591.2945402404</v>
          </cell>
          <cell r="AA23">
            <v>7095540.0099230502</v>
          </cell>
          <cell r="AB23">
            <v>13940169.9358135</v>
          </cell>
          <cell r="AC23">
            <v>6512196.2667425303</v>
          </cell>
          <cell r="AD23">
            <v>-489707.09291724698</v>
          </cell>
          <cell r="AE23">
            <v>-5637050.1761129098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17016245.000609301</v>
          </cell>
          <cell r="AN23">
            <v>19795568.220902599</v>
          </cell>
          <cell r="AO23">
            <v>-21191271.872902799</v>
          </cell>
          <cell r="AP23">
            <v>16527662.359999999</v>
          </cell>
          <cell r="AQ23">
            <v>15131958.707999701</v>
          </cell>
        </row>
        <row r="24">
          <cell r="A24" t="str">
            <v>0_2_2005</v>
          </cell>
          <cell r="B24">
            <v>0</v>
          </cell>
          <cell r="C24">
            <v>2</v>
          </cell>
          <cell r="D24">
            <v>2005</v>
          </cell>
          <cell r="E24">
            <v>849992306.96800005</v>
          </cell>
          <cell r="F24">
            <v>843165072.45699894</v>
          </cell>
          <cell r="G24">
            <v>871533868.49699998</v>
          </cell>
          <cell r="H24">
            <v>28368796.040000401</v>
          </cell>
          <cell r="I24">
            <v>897383878.86981499</v>
          </cell>
          <cell r="J24">
            <v>46913758.249831699</v>
          </cell>
          <cell r="K24">
            <v>12482146.653057501</v>
          </cell>
          <cell r="L24">
            <v>0.79741232862156997</v>
          </cell>
          <cell r="M24">
            <v>2436368.5480286502</v>
          </cell>
          <cell r="N24">
            <v>2.96613847216386</v>
          </cell>
          <cell r="O24">
            <v>32987.563356074003</v>
          </cell>
          <cell r="P24">
            <v>7.6104665806668503</v>
          </cell>
          <cell r="Q24">
            <v>30.3453493710253</v>
          </cell>
          <cell r="R24">
            <v>3.4306824364425399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3.8634396724294397E-2</v>
          </cell>
          <cell r="X24">
            <v>0</v>
          </cell>
          <cell r="Y24">
            <v>-6617830.9408878302</v>
          </cell>
          <cell r="Z24">
            <v>15888617.207918501</v>
          </cell>
          <cell r="AA24">
            <v>7401442.4897773499</v>
          </cell>
          <cell r="AB24">
            <v>18285903.725724</v>
          </cell>
          <cell r="AC24">
            <v>6240873.2011200003</v>
          </cell>
          <cell r="AD24">
            <v>-594540.26901650301</v>
          </cell>
          <cell r="AE24">
            <v>-5067923.7696511596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35536541.644984402</v>
          </cell>
          <cell r="AN24">
            <v>31633843.123212401</v>
          </cell>
          <cell r="AO24">
            <v>-3265047.0832120199</v>
          </cell>
          <cell r="AP24">
            <v>0</v>
          </cell>
          <cell r="AQ24">
            <v>28368796.040000401</v>
          </cell>
        </row>
        <row r="25">
          <cell r="A25" t="str">
            <v>0_2_2006</v>
          </cell>
          <cell r="B25">
            <v>0</v>
          </cell>
          <cell r="C25">
            <v>2</v>
          </cell>
          <cell r="D25">
            <v>2006</v>
          </cell>
          <cell r="E25">
            <v>849992306.96800005</v>
          </cell>
          <cell r="F25">
            <v>871533868.49699998</v>
          </cell>
          <cell r="G25">
            <v>919190510.06599998</v>
          </cell>
          <cell r="H25">
            <v>47656641.568999998</v>
          </cell>
          <cell r="I25">
            <v>923569594.38184798</v>
          </cell>
          <cell r="J25">
            <v>26185715.512033202</v>
          </cell>
          <cell r="K25">
            <v>12305885.021133499</v>
          </cell>
          <cell r="L25">
            <v>0.82765530574581603</v>
          </cell>
          <cell r="M25">
            <v>2486074.6102777901</v>
          </cell>
          <cell r="N25">
            <v>3.2548475190699002</v>
          </cell>
          <cell r="O25">
            <v>31613.500680290799</v>
          </cell>
          <cell r="P25">
            <v>7.4106378769815002</v>
          </cell>
          <cell r="Q25">
            <v>29.4907882449582</v>
          </cell>
          <cell r="R25">
            <v>3.6006212651468301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3.8634396724294397E-2</v>
          </cell>
          <cell r="X25">
            <v>0</v>
          </cell>
          <cell r="Y25">
            <v>3204089.46211597</v>
          </cell>
          <cell r="Z25">
            <v>-1860859.4451852599</v>
          </cell>
          <cell r="AA25">
            <v>8840795.9331559297</v>
          </cell>
          <cell r="AB25">
            <v>10746880.750589499</v>
          </cell>
          <cell r="AC25">
            <v>10465526.344153799</v>
          </cell>
          <cell r="AD25">
            <v>-478766.30012451397</v>
          </cell>
          <cell r="AE25">
            <v>-5346391.2611786397</v>
          </cell>
          <cell r="AF25">
            <v>-479005.75292816898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25092269.730598699</v>
          </cell>
          <cell r="AN25">
            <v>28342335.152591601</v>
          </cell>
          <cell r="AO25">
            <v>19314306.416408401</v>
          </cell>
          <cell r="AP25">
            <v>0</v>
          </cell>
          <cell r="AQ25">
            <v>47656641.568999998</v>
          </cell>
        </row>
        <row r="26">
          <cell r="A26" t="str">
            <v>0_2_2007</v>
          </cell>
          <cell r="B26">
            <v>0</v>
          </cell>
          <cell r="C26">
            <v>2</v>
          </cell>
          <cell r="D26">
            <v>2007</v>
          </cell>
          <cell r="E26">
            <v>849992306.96800005</v>
          </cell>
          <cell r="F26">
            <v>919190510.06599998</v>
          </cell>
          <cell r="G26">
            <v>909753375.22299898</v>
          </cell>
          <cell r="H26">
            <v>-9437134.8430003803</v>
          </cell>
          <cell r="I26">
            <v>912122249.42206395</v>
          </cell>
          <cell r="J26">
            <v>-11447344.9597845</v>
          </cell>
          <cell r="K26">
            <v>12357622.7571609</v>
          </cell>
          <cell r="L26">
            <v>0.90897080816751097</v>
          </cell>
          <cell r="M26">
            <v>2516411.4292192301</v>
          </cell>
          <cell r="N26">
            <v>3.4441812239145002</v>
          </cell>
          <cell r="O26">
            <v>31979.378625465801</v>
          </cell>
          <cell r="P26">
            <v>7.2887716289143496</v>
          </cell>
          <cell r="Q26">
            <v>28.7606383495899</v>
          </cell>
          <cell r="R26">
            <v>3.80949264933618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3.8634396724294397E-2</v>
          </cell>
          <cell r="X26">
            <v>0</v>
          </cell>
          <cell r="Y26">
            <v>-2815059.0075576301</v>
          </cell>
          <cell r="Z26">
            <v>-10666748.4630298</v>
          </cell>
          <cell r="AA26">
            <v>4564465.8593690395</v>
          </cell>
          <cell r="AB26">
            <v>6936622.1682436196</v>
          </cell>
          <cell r="AC26">
            <v>-2894667.24921992</v>
          </cell>
          <cell r="AD26">
            <v>-519399.81554508</v>
          </cell>
          <cell r="AE26">
            <v>-3414966.9159368798</v>
          </cell>
          <cell r="AF26">
            <v>-541291.471480479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-9351044.8951571994</v>
          </cell>
          <cell r="AN26">
            <v>-11459778.052067</v>
          </cell>
          <cell r="AO26">
            <v>2022643.20906671</v>
          </cell>
          <cell r="AP26">
            <v>0</v>
          </cell>
          <cell r="AQ26">
            <v>-9437134.8430003803</v>
          </cell>
        </row>
        <row r="27">
          <cell r="A27" t="str">
            <v>0_2_2008</v>
          </cell>
          <cell r="B27">
            <v>0</v>
          </cell>
          <cell r="C27">
            <v>2</v>
          </cell>
          <cell r="D27">
            <v>2008</v>
          </cell>
          <cell r="E27">
            <v>849992306.96800005</v>
          </cell>
          <cell r="F27">
            <v>909753375.22299898</v>
          </cell>
          <cell r="G27">
            <v>994745706.73699999</v>
          </cell>
          <cell r="H27">
            <v>84992331.514000207</v>
          </cell>
          <cell r="I27">
            <v>960004461.74657905</v>
          </cell>
          <cell r="J27">
            <v>47882212.324515797</v>
          </cell>
          <cell r="K27">
            <v>12688138.82901</v>
          </cell>
          <cell r="L27">
            <v>0.89397439167305204</v>
          </cell>
          <cell r="M27">
            <v>2528895.48366977</v>
          </cell>
          <cell r="N27">
            <v>3.8555976576233699</v>
          </cell>
          <cell r="O27">
            <v>31717.224762009901</v>
          </cell>
          <cell r="P27">
            <v>7.51069428584095</v>
          </cell>
          <cell r="Q27">
            <v>28.044199708268899</v>
          </cell>
          <cell r="R27">
            <v>3.8534175061017399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3.8634396724294397E-2</v>
          </cell>
          <cell r="X27">
            <v>0</v>
          </cell>
          <cell r="Y27">
            <v>27647132.010479402</v>
          </cell>
          <cell r="Z27">
            <v>1818350.97887998</v>
          </cell>
          <cell r="AA27">
            <v>2029962.6319313301</v>
          </cell>
          <cell r="AB27">
            <v>14332136.3339276</v>
          </cell>
          <cell r="AC27">
            <v>1857116.85547611</v>
          </cell>
          <cell r="AD27">
            <v>1120968.1531996699</v>
          </cell>
          <cell r="AE27">
            <v>-2658540.4970348598</v>
          </cell>
          <cell r="AF27">
            <v>-69396.517797364504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46077729.9490619</v>
          </cell>
          <cell r="AN27">
            <v>46827636.947126903</v>
          </cell>
          <cell r="AO27">
            <v>38164694.5668732</v>
          </cell>
          <cell r="AP27">
            <v>0</v>
          </cell>
          <cell r="AQ27">
            <v>84992331.514000207</v>
          </cell>
        </row>
        <row r="28">
          <cell r="A28" t="str">
            <v>0_2_2009</v>
          </cell>
          <cell r="B28">
            <v>0</v>
          </cell>
          <cell r="C28">
            <v>2</v>
          </cell>
          <cell r="D28">
            <v>2009</v>
          </cell>
          <cell r="E28">
            <v>849992306.96800005</v>
          </cell>
          <cell r="F28">
            <v>994745706.73699999</v>
          </cell>
          <cell r="G28">
            <v>916284363.54299903</v>
          </cell>
          <cell r="H28">
            <v>-78461343.194000304</v>
          </cell>
          <cell r="I28">
            <v>886760380.49029899</v>
          </cell>
          <cell r="J28">
            <v>-73244081.256280407</v>
          </cell>
          <cell r="K28">
            <v>12381739.0328984</v>
          </cell>
          <cell r="L28">
            <v>1.0089238141663399</v>
          </cell>
          <cell r="M28">
            <v>2514097.0201421399</v>
          </cell>
          <cell r="N28">
            <v>2.7997390667432298</v>
          </cell>
          <cell r="O28">
            <v>30191.394134674501</v>
          </cell>
          <cell r="P28">
            <v>7.5978298161442401</v>
          </cell>
          <cell r="Q28">
            <v>27.412538933745601</v>
          </cell>
          <cell r="R28">
            <v>4.0523071933928296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3.8634396724294397E-2</v>
          </cell>
          <cell r="X28">
            <v>0</v>
          </cell>
          <cell r="Y28">
            <v>-11372931.984778199</v>
          </cell>
          <cell r="Z28">
            <v>-33252124.8817316</v>
          </cell>
          <cell r="AA28">
            <v>-1720928.07977304</v>
          </cell>
          <cell r="AB28">
            <v>-41922903.317508601</v>
          </cell>
          <cell r="AC28">
            <v>14268977.713599799</v>
          </cell>
          <cell r="AD28">
            <v>405808.34063754498</v>
          </cell>
          <cell r="AE28">
            <v>-3010849.60118521</v>
          </cell>
          <cell r="AF28">
            <v>-700220.54083148297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-77305172.351570904</v>
          </cell>
          <cell r="AN28">
            <v>-75130003.044029102</v>
          </cell>
          <cell r="AO28">
            <v>-3331340.1499712402</v>
          </cell>
          <cell r="AP28">
            <v>0</v>
          </cell>
          <cell r="AQ28">
            <v>-78461343.194000304</v>
          </cell>
        </row>
        <row r="29">
          <cell r="A29" t="str">
            <v>0_2_2010</v>
          </cell>
          <cell r="B29">
            <v>0</v>
          </cell>
          <cell r="C29">
            <v>2</v>
          </cell>
          <cell r="D29">
            <v>2010</v>
          </cell>
          <cell r="E29">
            <v>849992306.96800005</v>
          </cell>
          <cell r="F29">
            <v>916284363.54299903</v>
          </cell>
          <cell r="G29">
            <v>907579934.87899995</v>
          </cell>
          <cell r="H29">
            <v>-11693167.8789996</v>
          </cell>
          <cell r="I29">
            <v>904168622.80367506</v>
          </cell>
          <cell r="J29">
            <v>13478417.1519581</v>
          </cell>
          <cell r="K29">
            <v>12074295.444972999</v>
          </cell>
          <cell r="L29">
            <v>1.0115485296433899</v>
          </cell>
          <cell r="M29">
            <v>2533110.0883666901</v>
          </cell>
          <cell r="N29">
            <v>3.2587874760922202</v>
          </cell>
          <cell r="O29">
            <v>29718.173485593099</v>
          </cell>
          <cell r="P29">
            <v>7.8640821114144899</v>
          </cell>
          <cell r="Q29">
            <v>26.917255815792199</v>
          </cell>
          <cell r="R29">
            <v>4.0903277693061399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3.8634396724294397E-2</v>
          </cell>
          <cell r="X29">
            <v>0</v>
          </cell>
          <cell r="Y29">
            <v>-11446644.234206799</v>
          </cell>
          <cell r="Z29">
            <v>1012989.37990263</v>
          </cell>
          <cell r="AA29">
            <v>3423929.7305298699</v>
          </cell>
          <cell r="AB29">
            <v>18536009.2222488</v>
          </cell>
          <cell r="AC29">
            <v>4152840.65096201</v>
          </cell>
          <cell r="AD29">
            <v>1789393.05294589</v>
          </cell>
          <cell r="AE29">
            <v>-2765477.4316050601</v>
          </cell>
          <cell r="AF29">
            <v>36450.973397463596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14739491.3441748</v>
          </cell>
          <cell r="AN29">
            <v>15012898.909407999</v>
          </cell>
          <cell r="AO29">
            <v>-26706066.788407698</v>
          </cell>
          <cell r="AP29">
            <v>0</v>
          </cell>
          <cell r="AQ29">
            <v>-11693167.8789996</v>
          </cell>
        </row>
        <row r="30">
          <cell r="A30" t="str">
            <v>0_2_2011</v>
          </cell>
          <cell r="B30">
            <v>0</v>
          </cell>
          <cell r="C30">
            <v>2</v>
          </cell>
          <cell r="D30">
            <v>2011</v>
          </cell>
          <cell r="E30">
            <v>849992306.96800005</v>
          </cell>
          <cell r="F30">
            <v>907579934.87899995</v>
          </cell>
          <cell r="G30">
            <v>946328160.82099998</v>
          </cell>
          <cell r="H30">
            <v>38748225.942000002</v>
          </cell>
          <cell r="I30">
            <v>934041670.46803904</v>
          </cell>
          <cell r="J30">
            <v>29873047.664364401</v>
          </cell>
          <cell r="K30">
            <v>11881927.0461295</v>
          </cell>
          <cell r="L30">
            <v>0.98428497723653496</v>
          </cell>
          <cell r="M30">
            <v>2555129.64564774</v>
          </cell>
          <cell r="N30">
            <v>3.99788951306838</v>
          </cell>
          <cell r="O30">
            <v>29140.014259295102</v>
          </cell>
          <cell r="P30">
            <v>8.1299891494129692</v>
          </cell>
          <cell r="Q30">
            <v>26.445862096494601</v>
          </cell>
          <cell r="R30">
            <v>4.1664117460602199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5.1329832802407299E-2</v>
          </cell>
          <cell r="X30">
            <v>0</v>
          </cell>
          <cell r="Y30">
            <v>-10972066.475998299</v>
          </cell>
          <cell r="Z30">
            <v>6857151.8982671704</v>
          </cell>
          <cell r="AA30">
            <v>2763493.6651622802</v>
          </cell>
          <cell r="AB30">
            <v>25967849.516176201</v>
          </cell>
          <cell r="AC30">
            <v>5188403.1469804598</v>
          </cell>
          <cell r="AD30">
            <v>1560039.11257129</v>
          </cell>
          <cell r="AE30">
            <v>-2185795.32846297</v>
          </cell>
          <cell r="AF30">
            <v>-363255.61908852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200500.48144310599</v>
          </cell>
          <cell r="AL30">
            <v>0</v>
          </cell>
          <cell r="AM30">
            <v>29016320.3970506</v>
          </cell>
          <cell r="AN30">
            <v>28913486.605505101</v>
          </cell>
          <cell r="AO30">
            <v>9834739.3364949096</v>
          </cell>
          <cell r="AP30">
            <v>0</v>
          </cell>
          <cell r="AQ30">
            <v>38748225.942000002</v>
          </cell>
        </row>
        <row r="31">
          <cell r="A31" t="str">
            <v>0_2_2012</v>
          </cell>
          <cell r="B31">
            <v>0</v>
          </cell>
          <cell r="C31">
            <v>2</v>
          </cell>
          <cell r="D31">
            <v>2012</v>
          </cell>
          <cell r="E31">
            <v>873295591.96800005</v>
          </cell>
          <cell r="F31">
            <v>946328160.82099998</v>
          </cell>
          <cell r="G31">
            <v>966527544.56200004</v>
          </cell>
          <cell r="H31">
            <v>-3103901.2590003</v>
          </cell>
          <cell r="I31">
            <v>941210888.912498</v>
          </cell>
          <cell r="J31">
            <v>-18511218.1876598</v>
          </cell>
          <cell r="K31">
            <v>11464510.1677565</v>
          </cell>
          <cell r="L31">
            <v>0.969699690863564</v>
          </cell>
          <cell r="M31">
            <v>2558774.8850616398</v>
          </cell>
          <cell r="N31">
            <v>4.0118082101766701</v>
          </cell>
          <cell r="O31">
            <v>28863.816411971198</v>
          </cell>
          <cell r="P31">
            <v>8.2704216428455197</v>
          </cell>
          <cell r="Q31">
            <v>26.526002712282001</v>
          </cell>
          <cell r="R31">
            <v>4.11443983679911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8.3797081243805804E-2</v>
          </cell>
          <cell r="X31">
            <v>0</v>
          </cell>
          <cell r="Y31">
            <v>-27288816.395936199</v>
          </cell>
          <cell r="Z31">
            <v>-283284.66727320501</v>
          </cell>
          <cell r="AA31">
            <v>3675401.82930646</v>
          </cell>
          <cell r="AB31">
            <v>497481.99793215498</v>
          </cell>
          <cell r="AC31">
            <v>2591962.0721836402</v>
          </cell>
          <cell r="AD31">
            <v>335941.02841242298</v>
          </cell>
          <cell r="AE31">
            <v>-523300.01280504902</v>
          </cell>
          <cell r="AF31">
            <v>14143.3241688543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591159.45863674104</v>
          </cell>
          <cell r="AL31">
            <v>0</v>
          </cell>
          <cell r="AM31">
            <v>-20389311.3653742</v>
          </cell>
          <cell r="AN31">
            <v>-20922318.884834699</v>
          </cell>
          <cell r="AO31">
            <v>17818417.625834402</v>
          </cell>
          <cell r="AP31">
            <v>23303285</v>
          </cell>
          <cell r="AQ31">
            <v>20199383.740999602</v>
          </cell>
        </row>
        <row r="32">
          <cell r="A32" t="str">
            <v>0_2_2013</v>
          </cell>
          <cell r="B32">
            <v>0</v>
          </cell>
          <cell r="C32">
            <v>2</v>
          </cell>
          <cell r="D32">
            <v>2013</v>
          </cell>
          <cell r="E32">
            <v>873295591.96800005</v>
          </cell>
          <cell r="F32">
            <v>966527544.56200004</v>
          </cell>
          <cell r="G32">
            <v>950051312.04700005</v>
          </cell>
          <cell r="H32">
            <v>-16476232.514999799</v>
          </cell>
          <cell r="I32">
            <v>933340337.13883698</v>
          </cell>
          <cell r="J32">
            <v>-7870551.7736601597</v>
          </cell>
          <cell r="K32">
            <v>11478189.7581596</v>
          </cell>
          <cell r="L32">
            <v>1.00770825423419</v>
          </cell>
          <cell r="M32">
            <v>2595456.5865964801</v>
          </cell>
          <cell r="N32">
            <v>3.85433507739531</v>
          </cell>
          <cell r="O32">
            <v>29041.225923024798</v>
          </cell>
          <cell r="P32">
            <v>8.1306978507837293</v>
          </cell>
          <cell r="Q32">
            <v>26.356244416233299</v>
          </cell>
          <cell r="R32">
            <v>4.2115553270299397</v>
          </cell>
          <cell r="S32">
            <v>0</v>
          </cell>
          <cell r="T32">
            <v>0.15559355539490499</v>
          </cell>
          <cell r="U32">
            <v>0</v>
          </cell>
          <cell r="V32">
            <v>0</v>
          </cell>
          <cell r="W32">
            <v>0.141709774740892</v>
          </cell>
          <cell r="X32">
            <v>0</v>
          </cell>
          <cell r="Y32">
            <v>6686414.4503546702</v>
          </cell>
          <cell r="Z32">
            <v>-8654156.3290620297</v>
          </cell>
          <cell r="AA32">
            <v>6399645.1191117996</v>
          </cell>
          <cell r="AB32">
            <v>-5393882.9100056104</v>
          </cell>
          <cell r="AC32">
            <v>-1156739.7985461</v>
          </cell>
          <cell r="AD32">
            <v>-1197281.5819597</v>
          </cell>
          <cell r="AE32">
            <v>-1005836.97806089</v>
          </cell>
          <cell r="AF32">
            <v>-201874.015419959</v>
          </cell>
          <cell r="AG32">
            <v>0</v>
          </cell>
          <cell r="AH32">
            <v>-3971620.6111826301</v>
          </cell>
          <cell r="AI32">
            <v>0</v>
          </cell>
          <cell r="AJ32">
            <v>0</v>
          </cell>
          <cell r="AK32">
            <v>890403.19221222796</v>
          </cell>
          <cell r="AL32">
            <v>0</v>
          </cell>
          <cell r="AM32">
            <v>-7604929.4625582201</v>
          </cell>
          <cell r="AN32">
            <v>-7691437.9015702102</v>
          </cell>
          <cell r="AO32">
            <v>-8784794.6134296097</v>
          </cell>
          <cell r="AP32">
            <v>0</v>
          </cell>
          <cell r="AQ32">
            <v>-16476232.514999799</v>
          </cell>
        </row>
        <row r="33">
          <cell r="A33" t="str">
            <v>0_2_2014</v>
          </cell>
          <cell r="B33">
            <v>0</v>
          </cell>
          <cell r="C33">
            <v>2</v>
          </cell>
          <cell r="D33">
            <v>2014</v>
          </cell>
          <cell r="E33">
            <v>873295591.96800005</v>
          </cell>
          <cell r="F33">
            <v>950051312.04700005</v>
          </cell>
          <cell r="G33">
            <v>946875189.88199997</v>
          </cell>
          <cell r="H33">
            <v>-3176122.16499973</v>
          </cell>
          <cell r="I33">
            <v>926719762.67301404</v>
          </cell>
          <cell r="J33">
            <v>-6620574.4658235898</v>
          </cell>
          <cell r="K33">
            <v>11646853.193252601</v>
          </cell>
          <cell r="L33">
            <v>0.99464981844985501</v>
          </cell>
          <cell r="M33">
            <v>2630689.7474088399</v>
          </cell>
          <cell r="N33">
            <v>3.6341916576424498</v>
          </cell>
          <cell r="O33">
            <v>29130.7643200436</v>
          </cell>
          <cell r="P33">
            <v>8.1374378522610709</v>
          </cell>
          <cell r="Q33">
            <v>26.263528226416099</v>
          </cell>
          <cell r="R33">
            <v>4.2913148711670299</v>
          </cell>
          <cell r="S33">
            <v>0</v>
          </cell>
          <cell r="T33">
            <v>0.96816107163057896</v>
          </cell>
          <cell r="U33">
            <v>0</v>
          </cell>
          <cell r="V33">
            <v>0</v>
          </cell>
          <cell r="W33">
            <v>0.26114239195467798</v>
          </cell>
          <cell r="X33">
            <v>0</v>
          </cell>
          <cell r="Y33">
            <v>13307985.872819999</v>
          </cell>
          <cell r="Z33">
            <v>4136633.5733601502</v>
          </cell>
          <cell r="AA33">
            <v>4747844.7430312699</v>
          </cell>
          <cell r="AB33">
            <v>-7629565.2410175903</v>
          </cell>
          <cell r="AC33">
            <v>-899876.01926753204</v>
          </cell>
          <cell r="AD33">
            <v>172070.87788877601</v>
          </cell>
          <cell r="AE33">
            <v>-453657.597374601</v>
          </cell>
          <cell r="AF33">
            <v>-246396.17035030501</v>
          </cell>
          <cell r="AG33">
            <v>0</v>
          </cell>
          <cell r="AH33">
            <v>-20901788.057897601</v>
          </cell>
          <cell r="AI33">
            <v>0</v>
          </cell>
          <cell r="AJ33">
            <v>0</v>
          </cell>
          <cell r="AK33">
            <v>1384021.95462278</v>
          </cell>
          <cell r="AL33">
            <v>0</v>
          </cell>
          <cell r="AM33">
            <v>-6382726.06418462</v>
          </cell>
          <cell r="AN33">
            <v>-6672350.8360118903</v>
          </cell>
          <cell r="AO33">
            <v>3496228.6710121501</v>
          </cell>
          <cell r="AP33">
            <v>0</v>
          </cell>
          <cell r="AQ33">
            <v>-3176122.16499973</v>
          </cell>
        </row>
        <row r="34">
          <cell r="A34" t="str">
            <v>0_2_2015</v>
          </cell>
          <cell r="B34">
            <v>0</v>
          </cell>
          <cell r="C34">
            <v>2</v>
          </cell>
          <cell r="D34">
            <v>2015</v>
          </cell>
          <cell r="E34">
            <v>873295591.96800005</v>
          </cell>
          <cell r="F34">
            <v>946875189.88199997</v>
          </cell>
          <cell r="G34">
            <v>922077657.42799997</v>
          </cell>
          <cell r="H34">
            <v>-24797532.4540001</v>
          </cell>
          <cell r="I34">
            <v>880967045.34960306</v>
          </cell>
          <cell r="J34">
            <v>-45752717.323411196</v>
          </cell>
          <cell r="K34">
            <v>12047082.2274381</v>
          </cell>
          <cell r="L34">
            <v>1.00388637505914</v>
          </cell>
          <cell r="M34">
            <v>2666207.8107936601</v>
          </cell>
          <cell r="N34">
            <v>2.6626376593162502</v>
          </cell>
          <cell r="O34">
            <v>30348.751806230899</v>
          </cell>
          <cell r="P34">
            <v>7.9451637531096102</v>
          </cell>
          <cell r="Q34">
            <v>26.2085490648555</v>
          </cell>
          <cell r="R34">
            <v>4.4884968463266102</v>
          </cell>
          <cell r="S34">
            <v>0</v>
          </cell>
          <cell r="T34">
            <v>1.9121764434592301</v>
          </cell>
          <cell r="U34">
            <v>0</v>
          </cell>
          <cell r="V34">
            <v>0</v>
          </cell>
          <cell r="W34">
            <v>0.47948101213288002</v>
          </cell>
          <cell r="X34">
            <v>0</v>
          </cell>
          <cell r="Y34">
            <v>24605116.122838501</v>
          </cell>
          <cell r="Z34">
            <v>-3775006.74815463</v>
          </cell>
          <cell r="AA34">
            <v>4659135.0912152501</v>
          </cell>
          <cell r="AB34">
            <v>-38360579.188142702</v>
          </cell>
          <cell r="AC34">
            <v>-10153053.235279201</v>
          </cell>
          <cell r="AD34">
            <v>-1323788.66005514</v>
          </cell>
          <cell r="AE34">
            <v>-358655.72709714703</v>
          </cell>
          <cell r="AF34">
            <v>-453485.69387076399</v>
          </cell>
          <cell r="AG34">
            <v>0</v>
          </cell>
          <cell r="AH34">
            <v>-23565087.7431884</v>
          </cell>
          <cell r="AI34">
            <v>0</v>
          </cell>
          <cell r="AJ34">
            <v>0</v>
          </cell>
          <cell r="AK34">
            <v>2829257.9294775599</v>
          </cell>
          <cell r="AL34">
            <v>0</v>
          </cell>
          <cell r="AM34">
            <v>-45896147.8522567</v>
          </cell>
          <cell r="AN34">
            <v>-46519459.000151202</v>
          </cell>
          <cell r="AO34">
            <v>21721926.546151102</v>
          </cell>
          <cell r="AP34">
            <v>0</v>
          </cell>
          <cell r="AQ34">
            <v>-24797532.4540001</v>
          </cell>
        </row>
        <row r="35">
          <cell r="A35" t="str">
            <v>0_2_2016</v>
          </cell>
          <cell r="B35">
            <v>0</v>
          </cell>
          <cell r="C35">
            <v>2</v>
          </cell>
          <cell r="D35">
            <v>2016</v>
          </cell>
          <cell r="E35">
            <v>873295591.96800005</v>
          </cell>
          <cell r="F35">
            <v>922077657.42799997</v>
          </cell>
          <cell r="G35">
            <v>882769337.01400006</v>
          </cell>
          <cell r="H35">
            <v>-39308320.414000101</v>
          </cell>
          <cell r="I35">
            <v>864359618.53750002</v>
          </cell>
          <cell r="J35">
            <v>-16607426.8121018</v>
          </cell>
          <cell r="K35">
            <v>12489384.737149199</v>
          </cell>
          <cell r="L35">
            <v>1.01572773230026</v>
          </cell>
          <cell r="M35">
            <v>2699933.5118777198</v>
          </cell>
          <cell r="N35">
            <v>2.36044691493557</v>
          </cell>
          <cell r="O35">
            <v>31136.881092227901</v>
          </cell>
          <cell r="P35">
            <v>7.79650640425647</v>
          </cell>
          <cell r="Q35">
            <v>26.123790724734501</v>
          </cell>
          <cell r="R35">
            <v>5.0142272292723904</v>
          </cell>
          <cell r="S35">
            <v>0</v>
          </cell>
          <cell r="T35">
            <v>2.8620803484229498</v>
          </cell>
          <cell r="U35">
            <v>0</v>
          </cell>
          <cell r="V35">
            <v>0</v>
          </cell>
          <cell r="W35">
            <v>0.62237661818853596</v>
          </cell>
          <cell r="X35">
            <v>0</v>
          </cell>
          <cell r="Y35">
            <v>25109375.2615599</v>
          </cell>
          <cell r="Z35">
            <v>-2946730.9469189201</v>
          </cell>
          <cell r="AA35">
            <v>4364599.4187598601</v>
          </cell>
          <cell r="AB35">
            <v>-13768300.8607466</v>
          </cell>
          <cell r="AC35">
            <v>-6198052.72300894</v>
          </cell>
          <cell r="AD35">
            <v>-855916.22797771904</v>
          </cell>
          <cell r="AE35">
            <v>-447044.07075173198</v>
          </cell>
          <cell r="AF35">
            <v>-1380205.55604876</v>
          </cell>
          <cell r="AG35">
            <v>0</v>
          </cell>
          <cell r="AH35">
            <v>-23157637.376464698</v>
          </cell>
          <cell r="AI35">
            <v>0</v>
          </cell>
          <cell r="AJ35">
            <v>0</v>
          </cell>
          <cell r="AK35">
            <v>1941711.0608240101</v>
          </cell>
          <cell r="AL35">
            <v>0</v>
          </cell>
          <cell r="AM35">
            <v>-17338202.0207735</v>
          </cell>
          <cell r="AN35">
            <v>-17640113.5278969</v>
          </cell>
          <cell r="AO35">
            <v>-21668206.886103101</v>
          </cell>
          <cell r="AP35">
            <v>0</v>
          </cell>
          <cell r="AQ35">
            <v>-39308320.414000101</v>
          </cell>
        </row>
        <row r="36">
          <cell r="A36" t="str">
            <v>0_2_2017</v>
          </cell>
          <cell r="B36">
            <v>0</v>
          </cell>
          <cell r="C36">
            <v>2</v>
          </cell>
          <cell r="D36">
            <v>2017</v>
          </cell>
          <cell r="E36">
            <v>873295591.96800005</v>
          </cell>
          <cell r="F36">
            <v>882769337.01400006</v>
          </cell>
          <cell r="G36">
            <v>845676010.36500001</v>
          </cell>
          <cell r="H36">
            <v>-37093326.648999996</v>
          </cell>
          <cell r="I36">
            <v>860354482.61471999</v>
          </cell>
          <cell r="J36">
            <v>-4005135.9227811201</v>
          </cell>
          <cell r="K36">
            <v>12657468.349457501</v>
          </cell>
          <cell r="L36">
            <v>1.0230144683656499</v>
          </cell>
          <cell r="M36">
            <v>2737260.6294643399</v>
          </cell>
          <cell r="N36">
            <v>2.5721625698392399</v>
          </cell>
          <cell r="O36">
            <v>31245.637139037</v>
          </cell>
          <cell r="P36">
            <v>7.5080173635779603</v>
          </cell>
          <cell r="Q36">
            <v>25.994032454727801</v>
          </cell>
          <cell r="R36">
            <v>5.2281171044476</v>
          </cell>
          <cell r="S36">
            <v>0</v>
          </cell>
          <cell r="T36">
            <v>3.85250168447807</v>
          </cell>
          <cell r="U36">
            <v>0</v>
          </cell>
          <cell r="V36">
            <v>0</v>
          </cell>
          <cell r="W36">
            <v>0.75467233907914799</v>
          </cell>
          <cell r="X36">
            <v>0</v>
          </cell>
          <cell r="Y36">
            <v>8357007.0091340402</v>
          </cell>
          <cell r="Z36">
            <v>505415.19366518402</v>
          </cell>
          <cell r="AA36">
            <v>4436965.0920518003</v>
          </cell>
          <cell r="AB36">
            <v>9503021.0196763799</v>
          </cell>
          <cell r="AC36">
            <v>-1233128.6501938701</v>
          </cell>
          <cell r="AD36">
            <v>-1695314.97907327</v>
          </cell>
          <cell r="AE36">
            <v>-618054.81279678503</v>
          </cell>
          <cell r="AF36">
            <v>-613412.08855316299</v>
          </cell>
          <cell r="AG36">
            <v>0</v>
          </cell>
          <cell r="AH36">
            <v>-23581333.3529815</v>
          </cell>
          <cell r="AI36">
            <v>0</v>
          </cell>
          <cell r="AJ36">
            <v>0</v>
          </cell>
          <cell r="AK36">
            <v>1433591.7786721401</v>
          </cell>
          <cell r="AL36">
            <v>0</v>
          </cell>
          <cell r="AM36">
            <v>-3505243.7903990899</v>
          </cell>
          <cell r="AN36">
            <v>-4010292.2778662699</v>
          </cell>
          <cell r="AO36">
            <v>-33083034.371133801</v>
          </cell>
          <cell r="AP36">
            <v>0</v>
          </cell>
          <cell r="AQ36">
            <v>-37093326.648999996</v>
          </cell>
        </row>
        <row r="37">
          <cell r="A37" t="str">
            <v>0_2_2018</v>
          </cell>
          <cell r="B37">
            <v>0</v>
          </cell>
          <cell r="C37">
            <v>2</v>
          </cell>
          <cell r="D37">
            <v>2018</v>
          </cell>
          <cell r="E37">
            <v>873295591.96800005</v>
          </cell>
          <cell r="F37">
            <v>845676010.36500001</v>
          </cell>
          <cell r="G37">
            <v>792037958.66100001</v>
          </cell>
          <cell r="H37">
            <v>-53638051.703999698</v>
          </cell>
          <cell r="I37">
            <v>813647186.93030798</v>
          </cell>
          <cell r="J37">
            <v>-46707295.684411697</v>
          </cell>
          <cell r="K37">
            <v>11925052.6075978</v>
          </cell>
          <cell r="L37">
            <v>1.0485915707747899</v>
          </cell>
          <cell r="M37">
            <v>2770222.73355758</v>
          </cell>
          <cell r="N37">
            <v>2.8483653051115398</v>
          </cell>
          <cell r="O37">
            <v>31622.900060763601</v>
          </cell>
          <cell r="P37">
            <v>7.2584582806319897</v>
          </cell>
          <cell r="Q37">
            <v>25.880165456718501</v>
          </cell>
          <cell r="R37">
            <v>5.5199671065654599</v>
          </cell>
          <cell r="S37">
            <v>0</v>
          </cell>
          <cell r="T37">
            <v>4.85250168447807</v>
          </cell>
          <cell r="U37">
            <v>0</v>
          </cell>
          <cell r="V37">
            <v>0</v>
          </cell>
          <cell r="W37">
            <v>0.84556979459602899</v>
          </cell>
          <cell r="X37">
            <v>0.412400865605418</v>
          </cell>
          <cell r="Y37">
            <v>-18742992.947427999</v>
          </cell>
          <cell r="Z37">
            <v>-758439.53682204697</v>
          </cell>
          <cell r="AA37">
            <v>3865071.3420027499</v>
          </cell>
          <cell r="AB37">
            <v>11044515.556270201</v>
          </cell>
          <cell r="AC37">
            <v>-2927716.8460812801</v>
          </cell>
          <cell r="AD37">
            <v>-1388158.4579944301</v>
          </cell>
          <cell r="AE37">
            <v>-534629.39630284696</v>
          </cell>
          <cell r="AF37">
            <v>-750339.54362812894</v>
          </cell>
          <cell r="AG37">
            <v>0</v>
          </cell>
          <cell r="AH37">
            <v>-22854285.724006601</v>
          </cell>
          <cell r="AI37">
            <v>0</v>
          </cell>
          <cell r="AJ37">
            <v>0</v>
          </cell>
          <cell r="AK37">
            <v>1364423.1893671199</v>
          </cell>
          <cell r="AL37">
            <v>-15561044.547483699</v>
          </cell>
          <cell r="AM37">
            <v>-47243596.912107103</v>
          </cell>
          <cell r="AN37">
            <v>-43786572.6533475</v>
          </cell>
          <cell r="AO37">
            <v>-9851479.0506522804</v>
          </cell>
          <cell r="AP37">
            <v>0</v>
          </cell>
          <cell r="AQ37">
            <v>-53638051.703999698</v>
          </cell>
        </row>
        <row r="38">
          <cell r="A38" t="str">
            <v>0_3_2002</v>
          </cell>
          <cell r="B38">
            <v>0</v>
          </cell>
          <cell r="C38">
            <v>3</v>
          </cell>
          <cell r="D38">
            <v>2002</v>
          </cell>
          <cell r="E38">
            <v>129862332.2897</v>
          </cell>
          <cell r="F38">
            <v>0</v>
          </cell>
          <cell r="G38">
            <v>129862332.2897</v>
          </cell>
          <cell r="H38">
            <v>0</v>
          </cell>
          <cell r="I38">
            <v>124221814.551654</v>
          </cell>
          <cell r="J38">
            <v>0</v>
          </cell>
          <cell r="K38">
            <v>2183301.62492374</v>
          </cell>
          <cell r="L38">
            <v>0.95353583396974995</v>
          </cell>
          <cell r="M38">
            <v>597492.84193984803</v>
          </cell>
          <cell r="N38">
            <v>1.9303899750032301</v>
          </cell>
          <cell r="O38">
            <v>33832.923823650301</v>
          </cell>
          <cell r="P38">
            <v>6.2163428218050498</v>
          </cell>
          <cell r="Q38">
            <v>20.466862433535798</v>
          </cell>
          <cell r="R38">
            <v>3.3282857000181898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2.1835708245822899E-2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129862332.2897</v>
          </cell>
          <cell r="AQ38">
            <v>129862332.2897</v>
          </cell>
        </row>
        <row r="39">
          <cell r="A39" t="str">
            <v>0_3_2003</v>
          </cell>
          <cell r="B39">
            <v>0</v>
          </cell>
          <cell r="C39">
            <v>3</v>
          </cell>
          <cell r="D39">
            <v>2003</v>
          </cell>
          <cell r="E39">
            <v>150121646.38609999</v>
          </cell>
          <cell r="F39">
            <v>129862332.2897</v>
          </cell>
          <cell r="G39">
            <v>159902363.33139899</v>
          </cell>
          <cell r="H39">
            <v>9780716.9453000091</v>
          </cell>
          <cell r="I39">
            <v>153914478.17916101</v>
          </cell>
          <cell r="J39">
            <v>10908739.796846399</v>
          </cell>
          <cell r="K39">
            <v>2049817.2620182501</v>
          </cell>
          <cell r="L39">
            <v>0.90835948225410501</v>
          </cell>
          <cell r="M39">
            <v>592742.95663138304</v>
          </cell>
          <cell r="N39">
            <v>2.1865675501231299</v>
          </cell>
          <cell r="O39">
            <v>32742.082618467099</v>
          </cell>
          <cell r="P39">
            <v>6.4497859960935999</v>
          </cell>
          <cell r="Q39">
            <v>19.8087184958903</v>
          </cell>
          <cell r="R39">
            <v>3.2879437810493002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1.8888921539715699E-2</v>
          </cell>
          <cell r="X39">
            <v>0</v>
          </cell>
          <cell r="Y39">
            <v>4665661.7310454296</v>
          </cell>
          <cell r="Z39">
            <v>2312585.1234552301</v>
          </cell>
          <cell r="AA39">
            <v>1480305.2038712399</v>
          </cell>
          <cell r="AB39">
            <v>1893122.5081035299</v>
          </cell>
          <cell r="AC39">
            <v>1080960.9030009599</v>
          </cell>
          <cell r="AD39">
            <v>153543.44520034199</v>
          </cell>
          <cell r="AE39">
            <v>-826105.65341080504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10760073.2612659</v>
          </cell>
          <cell r="AN39">
            <v>12885768.401458099</v>
          </cell>
          <cell r="AO39">
            <v>-3105051.4561581402</v>
          </cell>
          <cell r="AP39">
            <v>20259314.0963999</v>
          </cell>
          <cell r="AQ39">
            <v>30040031.041700002</v>
          </cell>
        </row>
        <row r="40">
          <cell r="A40" t="str">
            <v>0_3_2004</v>
          </cell>
          <cell r="B40">
            <v>0</v>
          </cell>
          <cell r="C40">
            <v>3</v>
          </cell>
          <cell r="D40">
            <v>2004</v>
          </cell>
          <cell r="E40">
            <v>182773532.81029901</v>
          </cell>
          <cell r="F40">
            <v>159902363.33139899</v>
          </cell>
          <cell r="G40">
            <v>186899235.819599</v>
          </cell>
          <cell r="H40">
            <v>-5655013.9360000202</v>
          </cell>
          <cell r="I40">
            <v>188519456.83359101</v>
          </cell>
          <cell r="J40">
            <v>4355009.0293255197</v>
          </cell>
          <cell r="K40">
            <v>2099807.9109178898</v>
          </cell>
          <cell r="L40">
            <v>0.97488711054938804</v>
          </cell>
          <cell r="M40">
            <v>610912.293480083</v>
          </cell>
          <cell r="N40">
            <v>2.5063401246896602</v>
          </cell>
          <cell r="O40">
            <v>30754.568607410001</v>
          </cell>
          <cell r="P40">
            <v>6.7443626961300902</v>
          </cell>
          <cell r="Q40">
            <v>19.649483579863201</v>
          </cell>
          <cell r="R40">
            <v>3.1871494963352398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1.55144782529486E-2</v>
          </cell>
          <cell r="X40">
            <v>0</v>
          </cell>
          <cell r="Y40">
            <v>-2495328.8958624299</v>
          </cell>
          <cell r="Z40">
            <v>-2319187.8159708199</v>
          </cell>
          <cell r="AA40">
            <v>2120006.6421037</v>
          </cell>
          <cell r="AB40">
            <v>2726073.10607959</v>
          </cell>
          <cell r="AC40">
            <v>1722236.6169294</v>
          </cell>
          <cell r="AD40">
            <v>110587.833531949</v>
          </cell>
          <cell r="AE40">
            <v>-922361.63214925095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942025.85466213804</v>
          </cell>
          <cell r="AN40">
            <v>2652356.05563574</v>
          </cell>
          <cell r="AO40">
            <v>-8307369.9916357603</v>
          </cell>
          <cell r="AP40">
            <v>32651886.424199998</v>
          </cell>
          <cell r="AQ40">
            <v>26996872.488199901</v>
          </cell>
        </row>
        <row r="41">
          <cell r="A41" t="str">
            <v>0_3_2005</v>
          </cell>
          <cell r="B41">
            <v>0</v>
          </cell>
          <cell r="C41">
            <v>3</v>
          </cell>
          <cell r="D41">
            <v>2005</v>
          </cell>
          <cell r="E41">
            <v>191911325.91150001</v>
          </cell>
          <cell r="F41">
            <v>186899235.819599</v>
          </cell>
          <cell r="G41">
            <v>207657643.08520001</v>
          </cell>
          <cell r="H41">
            <v>11620614.1644</v>
          </cell>
          <cell r="I41">
            <v>213555542.44313201</v>
          </cell>
          <cell r="J41">
            <v>15636621.014370499</v>
          </cell>
          <cell r="K41">
            <v>2042081.0133597399</v>
          </cell>
          <cell r="L41">
            <v>0.88107301355482903</v>
          </cell>
          <cell r="M41">
            <v>622715.59021837404</v>
          </cell>
          <cell r="N41">
            <v>2.9752027355284798</v>
          </cell>
          <cell r="O41">
            <v>29664.573769573799</v>
          </cell>
          <cell r="P41">
            <v>6.8407771829138797</v>
          </cell>
          <cell r="Q41">
            <v>18.2598422397222</v>
          </cell>
          <cell r="R41">
            <v>3.2040778199631599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1.47757615999571E-2</v>
          </cell>
          <cell r="X41">
            <v>0</v>
          </cell>
          <cell r="Y41">
            <v>5010218.5741095496</v>
          </cell>
          <cell r="Z41">
            <v>1924297.7651661299</v>
          </cell>
          <cell r="AA41">
            <v>2628717.5449608602</v>
          </cell>
          <cell r="AB41">
            <v>4211329.00313651</v>
          </cell>
          <cell r="AC41">
            <v>2034683.55238261</v>
          </cell>
          <cell r="AD41">
            <v>219729.24612733201</v>
          </cell>
          <cell r="AE41">
            <v>-961381.98657296004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15067593.699309999</v>
          </cell>
          <cell r="AN41">
            <v>17910029.746177901</v>
          </cell>
          <cell r="AO41">
            <v>-6289415.5817779098</v>
          </cell>
          <cell r="AP41">
            <v>9137793.1011999901</v>
          </cell>
          <cell r="AQ41">
            <v>20758407.2656</v>
          </cell>
        </row>
        <row r="42">
          <cell r="A42" t="str">
            <v>0_3_2006</v>
          </cell>
          <cell r="B42">
            <v>0</v>
          </cell>
          <cell r="C42">
            <v>3</v>
          </cell>
          <cell r="D42">
            <v>2006</v>
          </cell>
          <cell r="E42">
            <v>211258126.37220001</v>
          </cell>
          <cell r="F42">
            <v>207657643.08520001</v>
          </cell>
          <cell r="G42">
            <v>245822792.5106</v>
          </cell>
          <cell r="H42">
            <v>18818348.964699998</v>
          </cell>
          <cell r="I42">
            <v>255912643.48389301</v>
          </cell>
          <cell r="J42">
            <v>19379235.959244601</v>
          </cell>
          <cell r="K42">
            <v>1980239.4410959401</v>
          </cell>
          <cell r="L42">
            <v>0.900402714438438</v>
          </cell>
          <cell r="M42">
            <v>618034.330610562</v>
          </cell>
          <cell r="N42">
            <v>3.2605112619244001</v>
          </cell>
          <cell r="O42">
            <v>27900.1992202334</v>
          </cell>
          <cell r="P42">
            <v>6.9702107614166602</v>
          </cell>
          <cell r="Q42">
            <v>16.592782413375499</v>
          </cell>
          <cell r="R42">
            <v>3.6111247428720401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1.34226126525618E-2</v>
          </cell>
          <cell r="X42">
            <v>0</v>
          </cell>
          <cell r="Y42">
            <v>9835616.9045017604</v>
          </cell>
          <cell r="Z42">
            <v>-1056621.3321239001</v>
          </cell>
          <cell r="AA42">
            <v>3163466.3201172398</v>
          </cell>
          <cell r="AB42">
            <v>2544574.8648879002</v>
          </cell>
          <cell r="AC42">
            <v>3377127.3947111098</v>
          </cell>
          <cell r="AD42">
            <v>238373.27140895399</v>
          </cell>
          <cell r="AE42">
            <v>-1084199.8207206801</v>
          </cell>
          <cell r="AF42">
            <v>-229062.69726955699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16789274.905512799</v>
          </cell>
          <cell r="AN42">
            <v>19280259.391283002</v>
          </cell>
          <cell r="AO42">
            <v>-461910.426583055</v>
          </cell>
          <cell r="AP42">
            <v>19346800.460699901</v>
          </cell>
          <cell r="AQ42">
            <v>38165149.425399996</v>
          </cell>
        </row>
        <row r="43">
          <cell r="A43" t="str">
            <v>0_3_2007</v>
          </cell>
          <cell r="B43">
            <v>0</v>
          </cell>
          <cell r="C43">
            <v>3</v>
          </cell>
          <cell r="D43">
            <v>2007</v>
          </cell>
          <cell r="E43">
            <v>221759653.9725</v>
          </cell>
          <cell r="F43">
            <v>245822792.5106</v>
          </cell>
          <cell r="G43">
            <v>267437593.67459899</v>
          </cell>
          <cell r="H43">
            <v>11113273.563699899</v>
          </cell>
          <cell r="I43">
            <v>279914819.41008103</v>
          </cell>
          <cell r="J43">
            <v>12266878.116463199</v>
          </cell>
          <cell r="K43">
            <v>2016977.0649345201</v>
          </cell>
          <cell r="L43">
            <v>0.86896114176866701</v>
          </cell>
          <cell r="M43">
            <v>616298.33686661802</v>
          </cell>
          <cell r="N43">
            <v>3.4363116041588699</v>
          </cell>
          <cell r="O43">
            <v>28170.177322487099</v>
          </cell>
          <cell r="P43">
            <v>7.0738374040126901</v>
          </cell>
          <cell r="Q43">
            <v>16.093885146759099</v>
          </cell>
          <cell r="R43">
            <v>3.6807221776032302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1.27869788268683E-2</v>
          </cell>
          <cell r="X43">
            <v>0</v>
          </cell>
          <cell r="Y43">
            <v>9439834.0842713695</v>
          </cell>
          <cell r="Z43">
            <v>220989.24071762199</v>
          </cell>
          <cell r="AA43">
            <v>1209775.39843033</v>
          </cell>
          <cell r="AB43">
            <v>1787475.2497266899</v>
          </cell>
          <cell r="AC43">
            <v>-809005.19420360203</v>
          </cell>
          <cell r="AD43">
            <v>58680.6654353825</v>
          </cell>
          <cell r="AE43">
            <v>-345340.21295524901</v>
          </cell>
          <cell r="AF43">
            <v>-63155.158669310898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11499254.0727532</v>
          </cell>
          <cell r="AN43">
            <v>12390814.5777683</v>
          </cell>
          <cell r="AO43">
            <v>-1277541.01406836</v>
          </cell>
          <cell r="AP43">
            <v>10501527.600299999</v>
          </cell>
          <cell r="AQ43">
            <v>21614801.1639999</v>
          </cell>
        </row>
        <row r="44">
          <cell r="A44" t="str">
            <v>0_3_2008</v>
          </cell>
          <cell r="B44">
            <v>0</v>
          </cell>
          <cell r="C44">
            <v>3</v>
          </cell>
          <cell r="D44">
            <v>2008</v>
          </cell>
          <cell r="E44">
            <v>221759653.9725</v>
          </cell>
          <cell r="F44">
            <v>267437593.67459899</v>
          </cell>
          <cell r="G44">
            <v>286880933.7184</v>
          </cell>
          <cell r="H44">
            <v>19443340.0437999</v>
          </cell>
          <cell r="I44">
            <v>291880224.05429</v>
          </cell>
          <cell r="J44">
            <v>11965404.6442084</v>
          </cell>
          <cell r="K44">
            <v>2035802.45738637</v>
          </cell>
          <cell r="L44">
            <v>0.842675179667285</v>
          </cell>
          <cell r="M44">
            <v>619061.26846891199</v>
          </cell>
          <cell r="N44">
            <v>3.8588740594354798</v>
          </cell>
          <cell r="O44">
            <v>28319.9073681706</v>
          </cell>
          <cell r="P44">
            <v>7.0622588851311203</v>
          </cell>
          <cell r="Q44">
            <v>15.944888988921001</v>
          </cell>
          <cell r="R44">
            <v>3.7422871386723102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1.27869788268683E-2</v>
          </cell>
          <cell r="X44">
            <v>0</v>
          </cell>
          <cell r="Y44">
            <v>3979822.7841291199</v>
          </cell>
          <cell r="Z44">
            <v>2148911.7231552498</v>
          </cell>
          <cell r="AA44">
            <v>493608.184557823</v>
          </cell>
          <cell r="AB44">
            <v>4314569.29704904</v>
          </cell>
          <cell r="AC44">
            <v>-373616.17551096698</v>
          </cell>
          <cell r="AD44">
            <v>69678.301804336501</v>
          </cell>
          <cell r="AE44">
            <v>-194736.06928721</v>
          </cell>
          <cell r="AF44">
            <v>-21211.799395262398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10417026.2465021</v>
          </cell>
          <cell r="AN44">
            <v>10390106.4659636</v>
          </cell>
          <cell r="AO44">
            <v>9053233.5778363403</v>
          </cell>
          <cell r="AP44">
            <v>0</v>
          </cell>
          <cell r="AQ44">
            <v>19443340.0437999</v>
          </cell>
        </row>
        <row r="45">
          <cell r="A45" t="str">
            <v>0_3_2009</v>
          </cell>
          <cell r="B45">
            <v>0</v>
          </cell>
          <cell r="C45">
            <v>3</v>
          </cell>
          <cell r="D45">
            <v>2009</v>
          </cell>
          <cell r="E45">
            <v>222942922.9725</v>
          </cell>
          <cell r="F45">
            <v>286880933.7184</v>
          </cell>
          <cell r="G45">
            <v>291079663.9375</v>
          </cell>
          <cell r="H45">
            <v>3015461.2190999798</v>
          </cell>
          <cell r="I45">
            <v>289122867.85352099</v>
          </cell>
          <cell r="J45">
            <v>-4692722.7454737397</v>
          </cell>
          <cell r="K45">
            <v>2065176.9078864099</v>
          </cell>
          <cell r="L45">
            <v>0.88970523423729098</v>
          </cell>
          <cell r="M45">
            <v>614293.57558381697</v>
          </cell>
          <cell r="N45">
            <v>2.79425487386104</v>
          </cell>
          <cell r="O45">
            <v>26889.734434121001</v>
          </cell>
          <cell r="P45">
            <v>7.1976527887116299</v>
          </cell>
          <cell r="Q45">
            <v>15.7111777926677</v>
          </cell>
          <cell r="R45">
            <v>3.7268195233074399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1.2719111969074499E-2</v>
          </cell>
          <cell r="X45">
            <v>0</v>
          </cell>
          <cell r="Y45">
            <v>7611443.3713986203</v>
          </cell>
          <cell r="Z45">
            <v>-4598723.0823806999</v>
          </cell>
          <cell r="AA45">
            <v>-441292.94234373397</v>
          </cell>
          <cell r="AB45">
            <v>-12269184.0772937</v>
          </cell>
          <cell r="AC45">
            <v>4123911.6236974201</v>
          </cell>
          <cell r="AD45">
            <v>144499.59232290901</v>
          </cell>
          <cell r="AE45">
            <v>-282109.26391448802</v>
          </cell>
          <cell r="AF45">
            <v>22598.972350629301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-5688855.8061630698</v>
          </cell>
          <cell r="AN45">
            <v>-5919893.2639161302</v>
          </cell>
          <cell r="AO45">
            <v>8935354.4830161203</v>
          </cell>
          <cell r="AP45">
            <v>1183268.99999999</v>
          </cell>
          <cell r="AQ45">
            <v>4198730.2190999798</v>
          </cell>
        </row>
        <row r="46">
          <cell r="A46" t="str">
            <v>0_3_2010</v>
          </cell>
          <cell r="B46">
            <v>0</v>
          </cell>
          <cell r="C46">
            <v>3</v>
          </cell>
          <cell r="D46">
            <v>2010</v>
          </cell>
          <cell r="E46">
            <v>223751201.84470001</v>
          </cell>
          <cell r="F46">
            <v>291079663.9375</v>
          </cell>
          <cell r="G46">
            <v>295852260.51079899</v>
          </cell>
          <cell r="H46">
            <v>4786418.2547000097</v>
          </cell>
          <cell r="I46">
            <v>296965112.46241802</v>
          </cell>
          <cell r="J46">
            <v>7919057.30560036</v>
          </cell>
          <cell r="K46">
            <v>2024431.56904618</v>
          </cell>
          <cell r="L46">
            <v>0.87589073878555201</v>
          </cell>
          <cell r="M46">
            <v>619016.87820140598</v>
          </cell>
          <cell r="N46">
            <v>3.2407227333295001</v>
          </cell>
          <cell r="O46">
            <v>26781.476531775199</v>
          </cell>
          <cell r="P46">
            <v>7.3666449682622304</v>
          </cell>
          <cell r="Q46">
            <v>15.3819116651113</v>
          </cell>
          <cell r="R46">
            <v>3.9752668515264502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3.0127520855413301E-2</v>
          </cell>
          <cell r="X46">
            <v>0</v>
          </cell>
          <cell r="Y46">
            <v>1503019.43906796</v>
          </cell>
          <cell r="Z46">
            <v>759045.94286027295</v>
          </cell>
          <cell r="AA46">
            <v>901917.268762097</v>
          </cell>
          <cell r="AB46">
            <v>5893805.13579359</v>
          </cell>
          <cell r="AC46">
            <v>-168003.77720126399</v>
          </cell>
          <cell r="AD46">
            <v>492770.58589552599</v>
          </cell>
          <cell r="AE46">
            <v>-414021.93874454999</v>
          </cell>
          <cell r="AF46">
            <v>-251067.18124492999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62156.710513257902</v>
          </cell>
          <cell r="AL46">
            <v>0</v>
          </cell>
          <cell r="AM46">
            <v>8779622.1857019607</v>
          </cell>
          <cell r="AN46">
            <v>8718979.3551071398</v>
          </cell>
          <cell r="AO46">
            <v>-3932561.1004071301</v>
          </cell>
          <cell r="AP46">
            <v>808278.87219999998</v>
          </cell>
          <cell r="AQ46">
            <v>5594697.1269000098</v>
          </cell>
        </row>
        <row r="47">
          <cell r="A47" t="str">
            <v>0_3_2011</v>
          </cell>
          <cell r="B47">
            <v>0</v>
          </cell>
          <cell r="C47">
            <v>3</v>
          </cell>
          <cell r="D47">
            <v>2011</v>
          </cell>
          <cell r="E47">
            <v>224502437.84470001</v>
          </cell>
          <cell r="F47">
            <v>295852260.51079899</v>
          </cell>
          <cell r="G47">
            <v>315674864.45889997</v>
          </cell>
          <cell r="H47">
            <v>18082259.948100001</v>
          </cell>
          <cell r="I47">
            <v>313455853.495489</v>
          </cell>
          <cell r="J47">
            <v>14604344.297721401</v>
          </cell>
          <cell r="K47">
            <v>2006581.8260695599</v>
          </cell>
          <cell r="L47">
            <v>0.83233801072746505</v>
          </cell>
          <cell r="M47">
            <v>622373.76648940204</v>
          </cell>
          <cell r="N47">
            <v>3.9968764991536498</v>
          </cell>
          <cell r="O47">
            <v>26601.007480916702</v>
          </cell>
          <cell r="P47">
            <v>7.5272000025106598</v>
          </cell>
          <cell r="Q47">
            <v>15.275650283747099</v>
          </cell>
          <cell r="R47">
            <v>3.9079628323503299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3.0026707347664199E-2</v>
          </cell>
          <cell r="X47">
            <v>0</v>
          </cell>
          <cell r="Y47">
            <v>200711.53448968599</v>
          </cell>
          <cell r="Z47">
            <v>4131727.7492803899</v>
          </cell>
          <cell r="AA47">
            <v>660240.29461372504</v>
          </cell>
          <cell r="AB47">
            <v>8542063.8197656497</v>
          </cell>
          <cell r="AC47">
            <v>597286.03225703596</v>
          </cell>
          <cell r="AD47">
            <v>295859.58935200103</v>
          </cell>
          <cell r="AE47">
            <v>-110555.32207096901</v>
          </cell>
          <cell r="AF47">
            <v>78768.247893443797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14396101.9455809</v>
          </cell>
          <cell r="AN47">
            <v>14714316.513299501</v>
          </cell>
          <cell r="AO47">
            <v>3367943.4348004698</v>
          </cell>
          <cell r="AP47">
            <v>751235.99999999895</v>
          </cell>
          <cell r="AQ47">
            <v>18833495.948100001</v>
          </cell>
        </row>
        <row r="48">
          <cell r="A48" t="str">
            <v>0_3_2012</v>
          </cell>
          <cell r="B48">
            <v>0</v>
          </cell>
          <cell r="C48">
            <v>3</v>
          </cell>
          <cell r="D48">
            <v>2012</v>
          </cell>
          <cell r="E48">
            <v>226287933.84470001</v>
          </cell>
          <cell r="F48">
            <v>315674864.45889997</v>
          </cell>
          <cell r="G48">
            <v>321561614.43959898</v>
          </cell>
          <cell r="H48">
            <v>4101253.9806999099</v>
          </cell>
          <cell r="I48">
            <v>308998998.60857099</v>
          </cell>
          <cell r="J48">
            <v>-6037286.9325020099</v>
          </cell>
          <cell r="K48">
            <v>1974090.9332474601</v>
          </cell>
          <cell r="L48">
            <v>0.86858490177075598</v>
          </cell>
          <cell r="M48">
            <v>627610.22597385198</v>
          </cell>
          <cell r="N48">
            <v>4.0107538518414598</v>
          </cell>
          <cell r="O48">
            <v>26150.664636208199</v>
          </cell>
          <cell r="P48">
            <v>7.3654764703316502</v>
          </cell>
          <cell r="Q48">
            <v>15.297525030610499</v>
          </cell>
          <cell r="R48">
            <v>3.8958668634933802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4.1820886510434897E-2</v>
          </cell>
          <cell r="X48">
            <v>0</v>
          </cell>
          <cell r="Y48">
            <v>-3226726.8664776599</v>
          </cell>
          <cell r="Z48">
            <v>-3554628.9846312501</v>
          </cell>
          <cell r="AA48">
            <v>952537.34329718305</v>
          </cell>
          <cell r="AB48">
            <v>97971.139637399494</v>
          </cell>
          <cell r="AC48">
            <v>1300612.57270602</v>
          </cell>
          <cell r="AD48">
            <v>-270776.09678043501</v>
          </cell>
          <cell r="AE48">
            <v>-125451.192265274</v>
          </cell>
          <cell r="AF48">
            <v>41495.436475521703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40354.680024117202</v>
          </cell>
          <cell r="AL48">
            <v>0</v>
          </cell>
          <cell r="AM48">
            <v>-4744611.96801438</v>
          </cell>
          <cell r="AN48">
            <v>-4693414.50035246</v>
          </cell>
          <cell r="AO48">
            <v>8794668.4810523707</v>
          </cell>
          <cell r="AP48">
            <v>1785495.99999999</v>
          </cell>
          <cell r="AQ48">
            <v>5886749.9806999099</v>
          </cell>
        </row>
        <row r="49">
          <cell r="A49" t="str">
            <v>0_3_2013</v>
          </cell>
          <cell r="B49">
            <v>0</v>
          </cell>
          <cell r="C49">
            <v>3</v>
          </cell>
          <cell r="D49">
            <v>2013</v>
          </cell>
          <cell r="E49">
            <v>227746174.02869999</v>
          </cell>
          <cell r="F49">
            <v>321561614.43959898</v>
          </cell>
          <cell r="G49">
            <v>318734055.24150002</v>
          </cell>
          <cell r="H49">
            <v>-3015621.9841999002</v>
          </cell>
          <cell r="I49">
            <v>305132330.10949302</v>
          </cell>
          <cell r="J49">
            <v>-4232441.9758617198</v>
          </cell>
          <cell r="K49">
            <v>1973990.1716215501</v>
          </cell>
          <cell r="L49">
            <v>0.92572238552570696</v>
          </cell>
          <cell r="M49">
            <v>636439.11824566196</v>
          </cell>
          <cell r="N49">
            <v>3.8440311567730601</v>
          </cell>
          <cell r="O49">
            <v>26179.0218952141</v>
          </cell>
          <cell r="P49">
            <v>7.3985053884936098</v>
          </cell>
          <cell r="Q49">
            <v>15.1145899399143</v>
          </cell>
          <cell r="R49">
            <v>3.8044076052294602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4.39455055501339E-2</v>
          </cell>
          <cell r="X49">
            <v>0</v>
          </cell>
          <cell r="Y49">
            <v>1938083.3482779399</v>
          </cell>
          <cell r="Z49">
            <v>-6135676.98382359</v>
          </cell>
          <cell r="AA49">
            <v>1527886.7800680101</v>
          </cell>
          <cell r="AB49">
            <v>-1722101.8111216901</v>
          </cell>
          <cell r="AC49">
            <v>29452.134372118999</v>
          </cell>
          <cell r="AD49">
            <v>127312.884646145</v>
          </cell>
          <cell r="AE49">
            <v>-190592.249894145</v>
          </cell>
          <cell r="AF49">
            <v>108895.430878147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10795.7439874881</v>
          </cell>
          <cell r="AL49">
            <v>0</v>
          </cell>
          <cell r="AM49">
            <v>-4305944.7226095702</v>
          </cell>
          <cell r="AN49">
            <v>-4312930.0960621303</v>
          </cell>
          <cell r="AO49">
            <v>1297308.1118622201</v>
          </cell>
          <cell r="AP49">
            <v>1458240.1839999901</v>
          </cell>
          <cell r="AQ49">
            <v>-1557381.8001999001</v>
          </cell>
        </row>
        <row r="50">
          <cell r="A50" t="str">
            <v>0_3_2014</v>
          </cell>
          <cell r="B50">
            <v>0</v>
          </cell>
          <cell r="C50">
            <v>3</v>
          </cell>
          <cell r="D50">
            <v>2014</v>
          </cell>
          <cell r="E50">
            <v>227746174.02869999</v>
          </cell>
          <cell r="F50">
            <v>318734055.24150002</v>
          </cell>
          <cell r="G50">
            <v>319012966.18059999</v>
          </cell>
          <cell r="H50">
            <v>-763299.06090003205</v>
          </cell>
          <cell r="I50">
            <v>306022757.48607999</v>
          </cell>
          <cell r="J50">
            <v>-155129.072047316</v>
          </cell>
          <cell r="K50">
            <v>2012325.2811690299</v>
          </cell>
          <cell r="L50">
            <v>0.92023921859479896</v>
          </cell>
          <cell r="M50">
            <v>642315.75186498906</v>
          </cell>
          <cell r="N50">
            <v>3.6458530697641698</v>
          </cell>
          <cell r="O50">
            <v>26589.890738489299</v>
          </cell>
          <cell r="P50">
            <v>7.4204861928978403</v>
          </cell>
          <cell r="Q50">
            <v>15.053253574799401</v>
          </cell>
          <cell r="R50">
            <v>3.8770687286680299</v>
          </cell>
          <cell r="S50">
            <v>0</v>
          </cell>
          <cell r="T50">
            <v>0.542184014133819</v>
          </cell>
          <cell r="U50">
            <v>0</v>
          </cell>
          <cell r="V50">
            <v>0</v>
          </cell>
          <cell r="W50">
            <v>6.5289943047851906E-2</v>
          </cell>
          <cell r="X50">
            <v>0</v>
          </cell>
          <cell r="Y50">
            <v>6998350.3545184704</v>
          </cell>
          <cell r="Z50">
            <v>-5029.6043242842597</v>
          </cell>
          <cell r="AA50">
            <v>982508.14786586002</v>
          </cell>
          <cell r="AB50">
            <v>-2510436.3627893301</v>
          </cell>
          <cell r="AC50">
            <v>-1275124.3587211401</v>
          </cell>
          <cell r="AD50">
            <v>3197.0434357357399</v>
          </cell>
          <cell r="AE50">
            <v>-151266.92720187199</v>
          </cell>
          <cell r="AF50">
            <v>-153656.01158274701</v>
          </cell>
          <cell r="AG50">
            <v>0</v>
          </cell>
          <cell r="AH50">
            <v>-4614954.1849354897</v>
          </cell>
          <cell r="AI50">
            <v>0</v>
          </cell>
          <cell r="AJ50">
            <v>0</v>
          </cell>
          <cell r="AK50">
            <v>104892.82866842199</v>
          </cell>
          <cell r="AL50">
            <v>0</v>
          </cell>
          <cell r="AM50">
            <v>-621519.07506636996</v>
          </cell>
          <cell r="AN50">
            <v>-567522.064090056</v>
          </cell>
          <cell r="AO50">
            <v>-195776.996809976</v>
          </cell>
          <cell r="AP50">
            <v>0</v>
          </cell>
          <cell r="AQ50">
            <v>-763299.06090003205</v>
          </cell>
        </row>
        <row r="51">
          <cell r="A51" t="str">
            <v>0_3_2015</v>
          </cell>
          <cell r="B51">
            <v>0</v>
          </cell>
          <cell r="C51">
            <v>3</v>
          </cell>
          <cell r="D51">
            <v>2015</v>
          </cell>
          <cell r="E51">
            <v>228221257.55109999</v>
          </cell>
          <cell r="F51">
            <v>319012966.18059999</v>
          </cell>
          <cell r="G51">
            <v>308000739.25470001</v>
          </cell>
          <cell r="H51">
            <v>-11893222.6519999</v>
          </cell>
          <cell r="I51">
            <v>290034337.14669901</v>
          </cell>
          <cell r="J51">
            <v>-16769611.6268094</v>
          </cell>
          <cell r="K51">
            <v>2068786.29601143</v>
          </cell>
          <cell r="L51">
            <v>0.94193084154512696</v>
          </cell>
          <cell r="M51">
            <v>648985.85375391098</v>
          </cell>
          <cell r="N51">
            <v>2.6547298518876801</v>
          </cell>
          <cell r="O51">
            <v>27436.480157827002</v>
          </cell>
          <cell r="P51">
            <v>7.1465582595011901</v>
          </cell>
          <cell r="Q51">
            <v>14.9444089951816</v>
          </cell>
          <cell r="R51">
            <v>3.9763513203978702</v>
          </cell>
          <cell r="S51">
            <v>0</v>
          </cell>
          <cell r="T51">
            <v>1.3118210964285999</v>
          </cell>
          <cell r="U51">
            <v>0</v>
          </cell>
          <cell r="V51">
            <v>0</v>
          </cell>
          <cell r="W51">
            <v>0.126025003048894</v>
          </cell>
          <cell r="X51">
            <v>0</v>
          </cell>
          <cell r="Y51">
            <v>5791028.3843594203</v>
          </cell>
          <cell r="Z51">
            <v>-604092.79408419796</v>
          </cell>
          <cell r="AA51">
            <v>1086277.38218781</v>
          </cell>
          <cell r="AB51">
            <v>-13349469.8186343</v>
          </cell>
          <cell r="AC51">
            <v>-2571173.9978695898</v>
          </cell>
          <cell r="AD51">
            <v>-366103.48334715603</v>
          </cell>
          <cell r="AE51">
            <v>-168848.51378241999</v>
          </cell>
          <cell r="AF51">
            <v>-31115.9410186401</v>
          </cell>
          <cell r="AG51">
            <v>0</v>
          </cell>
          <cell r="AH51">
            <v>-6548615.00285252</v>
          </cell>
          <cell r="AI51">
            <v>0</v>
          </cell>
          <cell r="AJ51">
            <v>0</v>
          </cell>
          <cell r="AK51">
            <v>235925.413907037</v>
          </cell>
          <cell r="AL51">
            <v>0</v>
          </cell>
          <cell r="AM51">
            <v>-16526188.3711346</v>
          </cell>
          <cell r="AN51">
            <v>-16934881.953290001</v>
          </cell>
          <cell r="AO51">
            <v>5041659.3012901098</v>
          </cell>
          <cell r="AP51">
            <v>475083.52239999903</v>
          </cell>
          <cell r="AQ51">
            <v>-11418139.129599901</v>
          </cell>
        </row>
        <row r="52">
          <cell r="A52" t="str">
            <v>0_3_2016</v>
          </cell>
          <cell r="B52">
            <v>0</v>
          </cell>
          <cell r="C52">
            <v>3</v>
          </cell>
          <cell r="D52">
            <v>2016</v>
          </cell>
          <cell r="E52">
            <v>228221257.55109999</v>
          </cell>
          <cell r="F52">
            <v>308000739.25470001</v>
          </cell>
          <cell r="G52">
            <v>288481897.64130002</v>
          </cell>
          <cell r="H52">
            <v>-19106362.7717999</v>
          </cell>
          <cell r="I52">
            <v>276631015.38969898</v>
          </cell>
          <cell r="J52">
            <v>-12925612.1993575</v>
          </cell>
          <cell r="K52">
            <v>2102245.7904383801</v>
          </cell>
          <cell r="L52">
            <v>0.99616314710833498</v>
          </cell>
          <cell r="M52">
            <v>653448.16645941499</v>
          </cell>
          <cell r="N52">
            <v>2.3597270580998502</v>
          </cell>
          <cell r="O52">
            <v>27807.158839940701</v>
          </cell>
          <cell r="P52">
            <v>7.1056082977824699</v>
          </cell>
          <cell r="Q52">
            <v>14.8946721764018</v>
          </cell>
          <cell r="R52">
            <v>4.4832641342886497</v>
          </cell>
          <cell r="S52">
            <v>0</v>
          </cell>
          <cell r="T52">
            <v>2.19990482965455</v>
          </cell>
          <cell r="U52">
            <v>0</v>
          </cell>
          <cell r="V52">
            <v>0</v>
          </cell>
          <cell r="W52">
            <v>0.21131277089252701</v>
          </cell>
          <cell r="X52">
            <v>0</v>
          </cell>
          <cell r="Y52">
            <v>3196208.3049070099</v>
          </cell>
          <cell r="Z52">
            <v>-5132725.2558139497</v>
          </cell>
          <cell r="AA52">
            <v>1005278.7412568</v>
          </cell>
          <cell r="AB52">
            <v>-4396095.3364781197</v>
          </cell>
          <cell r="AC52">
            <v>-1313874.61639966</v>
          </cell>
          <cell r="AD52">
            <v>-192588.992565875</v>
          </cell>
          <cell r="AE52">
            <v>-45760.905725498204</v>
          </cell>
          <cell r="AF52">
            <v>-472248.63306252402</v>
          </cell>
          <cell r="AG52">
            <v>0</v>
          </cell>
          <cell r="AH52">
            <v>-7434076.3270469997</v>
          </cell>
          <cell r="AI52">
            <v>0</v>
          </cell>
          <cell r="AJ52">
            <v>0</v>
          </cell>
          <cell r="AK52">
            <v>370004.11806070199</v>
          </cell>
          <cell r="AL52">
            <v>0</v>
          </cell>
          <cell r="AM52">
            <v>-14415878.9028681</v>
          </cell>
          <cell r="AN52">
            <v>-13762676.563928699</v>
          </cell>
          <cell r="AO52">
            <v>-5343686.2078711903</v>
          </cell>
          <cell r="AP52">
            <v>0</v>
          </cell>
          <cell r="AQ52">
            <v>-19106362.7717999</v>
          </cell>
        </row>
        <row r="53">
          <cell r="A53" t="str">
            <v>0_3_2017</v>
          </cell>
          <cell r="B53">
            <v>0</v>
          </cell>
          <cell r="C53">
            <v>3</v>
          </cell>
          <cell r="D53">
            <v>2017</v>
          </cell>
          <cell r="E53">
            <v>228221257.55109999</v>
          </cell>
          <cell r="F53">
            <v>288481897.64130002</v>
          </cell>
          <cell r="G53">
            <v>278176501.55049902</v>
          </cell>
          <cell r="H53">
            <v>-10261546.380999999</v>
          </cell>
          <cell r="I53">
            <v>274041271.63163298</v>
          </cell>
          <cell r="J53">
            <v>-2739249.0386860198</v>
          </cell>
          <cell r="K53">
            <v>2111051.4464965099</v>
          </cell>
          <cell r="L53">
            <v>0.97991544798783703</v>
          </cell>
          <cell r="M53">
            <v>658415.51211554103</v>
          </cell>
          <cell r="N53">
            <v>2.5787540610144699</v>
          </cell>
          <cell r="O53">
            <v>28076.086066562599</v>
          </cell>
          <cell r="P53">
            <v>7.03529496264846</v>
          </cell>
          <cell r="Q53">
            <v>14.8282279535021</v>
          </cell>
          <cell r="R53">
            <v>4.7185792703269502</v>
          </cell>
          <cell r="S53">
            <v>0</v>
          </cell>
          <cell r="T53">
            <v>3.1846776208410899</v>
          </cell>
          <cell r="U53">
            <v>0</v>
          </cell>
          <cell r="V53">
            <v>0</v>
          </cell>
          <cell r="W53">
            <v>0.383228637381059</v>
          </cell>
          <cell r="X53">
            <v>0</v>
          </cell>
          <cell r="Y53">
            <v>1713935.3729073899</v>
          </cell>
          <cell r="Z53">
            <v>97418.844701317998</v>
          </cell>
          <cell r="AA53">
            <v>869197.59371507703</v>
          </cell>
          <cell r="AB53">
            <v>3145784.61750009</v>
          </cell>
          <cell r="AC53">
            <v>-854937.677748724</v>
          </cell>
          <cell r="AD53">
            <v>-222069.69041448701</v>
          </cell>
          <cell r="AE53">
            <v>-129797.371052337</v>
          </cell>
          <cell r="AF53">
            <v>-262348.78459038603</v>
          </cell>
          <cell r="AG53">
            <v>0</v>
          </cell>
          <cell r="AH53">
            <v>-7691592.3745430103</v>
          </cell>
          <cell r="AI53">
            <v>0</v>
          </cell>
          <cell r="AJ53">
            <v>0</v>
          </cell>
          <cell r="AK53">
            <v>803664.97712067899</v>
          </cell>
          <cell r="AL53">
            <v>0</v>
          </cell>
          <cell r="AM53">
            <v>-2530744.4924043701</v>
          </cell>
          <cell r="AN53">
            <v>-2974821.6819575601</v>
          </cell>
          <cell r="AO53">
            <v>-7286724.6990424404</v>
          </cell>
          <cell r="AP53">
            <v>0</v>
          </cell>
          <cell r="AQ53">
            <v>-10261546.380999999</v>
          </cell>
        </row>
        <row r="54">
          <cell r="A54" t="str">
            <v>0_3_2018</v>
          </cell>
          <cell r="B54">
            <v>0</v>
          </cell>
          <cell r="C54">
            <v>3</v>
          </cell>
          <cell r="D54">
            <v>2018</v>
          </cell>
          <cell r="E54">
            <v>228221257.55109999</v>
          </cell>
          <cell r="F54">
            <v>278176501.55049902</v>
          </cell>
          <cell r="G54">
            <v>272191394.338799</v>
          </cell>
          <cell r="H54">
            <v>-5203501.77220002</v>
          </cell>
          <cell r="I54">
            <v>271274995.075975</v>
          </cell>
          <cell r="J54">
            <v>-1902207.5933241399</v>
          </cell>
          <cell r="K54">
            <v>2121590.59836875</v>
          </cell>
          <cell r="L54">
            <v>1.0149211976611601</v>
          </cell>
          <cell r="M54">
            <v>662994.01594125095</v>
          </cell>
          <cell r="N54">
            <v>2.8297771426718001</v>
          </cell>
          <cell r="O54">
            <v>28363.700961112299</v>
          </cell>
          <cell r="P54">
            <v>6.9540326969826598</v>
          </cell>
          <cell r="Q54">
            <v>14.6958981048531</v>
          </cell>
          <cell r="R54">
            <v>5.0101867615656701</v>
          </cell>
          <cell r="S54">
            <v>0</v>
          </cell>
          <cell r="T54">
            <v>4.1737078255036</v>
          </cell>
          <cell r="U54">
            <v>0</v>
          </cell>
          <cell r="V54">
            <v>0</v>
          </cell>
          <cell r="W54">
            <v>0.53707217884142799</v>
          </cell>
          <cell r="X54">
            <v>6.8612061357579301E-2</v>
          </cell>
          <cell r="Y54">
            <v>2526433.46162477</v>
          </cell>
          <cell r="Z54">
            <v>-229701.01107099201</v>
          </cell>
          <cell r="AA54">
            <v>872757.51793876395</v>
          </cell>
          <cell r="AB54">
            <v>3443797.6659260602</v>
          </cell>
          <cell r="AC54">
            <v>-1061239.2024485599</v>
          </cell>
          <cell r="AD54">
            <v>-196655.23390074901</v>
          </cell>
          <cell r="AE54">
            <v>-101497.889743248</v>
          </cell>
          <cell r="AF54">
            <v>-301959.87659605098</v>
          </cell>
          <cell r="AG54">
            <v>0</v>
          </cell>
          <cell r="AH54">
            <v>-7475076.0164185399</v>
          </cell>
          <cell r="AI54">
            <v>0</v>
          </cell>
          <cell r="AJ54">
            <v>0</v>
          </cell>
          <cell r="AK54">
            <v>644745.99383749196</v>
          </cell>
          <cell r="AL54">
            <v>-1023746.65627597</v>
          </cell>
          <cell r="AM54">
            <v>-2902141.2471270198</v>
          </cell>
          <cell r="AN54">
            <v>-2404439.6488725799</v>
          </cell>
          <cell r="AO54">
            <v>-2799062.1233274401</v>
          </cell>
          <cell r="AP54">
            <v>0</v>
          </cell>
          <cell r="AQ54">
            <v>-5203501.77220002</v>
          </cell>
        </row>
        <row r="55">
          <cell r="A55" t="str">
            <v>0_10_2002</v>
          </cell>
          <cell r="B55">
            <v>0</v>
          </cell>
          <cell r="C55">
            <v>10</v>
          </cell>
          <cell r="D55">
            <v>2002</v>
          </cell>
          <cell r="E55">
            <v>1181250675.99999</v>
          </cell>
          <cell r="F55">
            <v>0</v>
          </cell>
          <cell r="G55">
            <v>1181250675.99999</v>
          </cell>
          <cell r="H55">
            <v>0</v>
          </cell>
          <cell r="I55">
            <v>1168124018.21</v>
          </cell>
          <cell r="J55">
            <v>0</v>
          </cell>
          <cell r="K55">
            <v>229799687.69999999</v>
          </cell>
          <cell r="L55">
            <v>1.072971648</v>
          </cell>
          <cell r="M55">
            <v>25697520.3899999</v>
          </cell>
          <cell r="N55">
            <v>1.974</v>
          </cell>
          <cell r="O55">
            <v>42439.074999999903</v>
          </cell>
          <cell r="P55">
            <v>31.71</v>
          </cell>
          <cell r="Q55">
            <v>80.049944068744793</v>
          </cell>
          <cell r="R55">
            <v>3.5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1181250675.99999</v>
          </cell>
          <cell r="AQ55">
            <v>1181250675.99999</v>
          </cell>
        </row>
        <row r="56">
          <cell r="A56" t="str">
            <v>0_10_2003</v>
          </cell>
          <cell r="B56">
            <v>0</v>
          </cell>
          <cell r="C56">
            <v>10</v>
          </cell>
          <cell r="D56">
            <v>2003</v>
          </cell>
          <cell r="E56">
            <v>1181250675.99999</v>
          </cell>
          <cell r="F56">
            <v>1181250675.99999</v>
          </cell>
          <cell r="G56">
            <v>1136637574.99999</v>
          </cell>
          <cell r="H56">
            <v>-44613101</v>
          </cell>
          <cell r="I56">
            <v>1057600862.93957</v>
          </cell>
          <cell r="J56">
            <v>-110523155.27042601</v>
          </cell>
          <cell r="K56">
            <v>210884103.39999899</v>
          </cell>
          <cell r="L56">
            <v>1.22787155099999</v>
          </cell>
          <cell r="M56">
            <v>26042245.269999899</v>
          </cell>
          <cell r="N56">
            <v>2.2467999999999901</v>
          </cell>
          <cell r="O56">
            <v>41148.635000000002</v>
          </cell>
          <cell r="P56">
            <v>31.36</v>
          </cell>
          <cell r="Q56">
            <v>77.880399100855897</v>
          </cell>
          <cell r="R56">
            <v>3.5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-81554922.390633702</v>
          </cell>
          <cell r="Z56">
            <v>-49248910.285218701</v>
          </cell>
          <cell r="AA56">
            <v>5944067.8228171999</v>
          </cell>
          <cell r="AB56">
            <v>18407990.160663899</v>
          </cell>
          <cell r="AC56">
            <v>10083282.8809145</v>
          </cell>
          <cell r="AD56">
            <v>-2840618.9901087098</v>
          </cell>
          <cell r="AE56">
            <v>-13908818.606567999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-113117929.408133</v>
          </cell>
          <cell r="AN56">
            <v>-111765146.37281699</v>
          </cell>
          <cell r="AO56">
            <v>67152045.372816995</v>
          </cell>
          <cell r="AP56">
            <v>0</v>
          </cell>
          <cell r="AQ56">
            <v>-44613101</v>
          </cell>
        </row>
        <row r="57">
          <cell r="A57" t="str">
            <v>0_10_2004</v>
          </cell>
          <cell r="B57">
            <v>0</v>
          </cell>
          <cell r="C57">
            <v>10</v>
          </cell>
          <cell r="D57">
            <v>2004</v>
          </cell>
          <cell r="E57">
            <v>1181250675.99999</v>
          </cell>
          <cell r="F57">
            <v>1136637574.99999</v>
          </cell>
          <cell r="G57">
            <v>1148429422.99999</v>
          </cell>
          <cell r="H57">
            <v>11791847.999998501</v>
          </cell>
          <cell r="I57">
            <v>1146766888.6714799</v>
          </cell>
          <cell r="J57">
            <v>89166025.731913596</v>
          </cell>
          <cell r="K57">
            <v>231824841.59999901</v>
          </cell>
          <cell r="L57">
            <v>1.30056946599999</v>
          </cell>
          <cell r="M57">
            <v>26563773.749999899</v>
          </cell>
          <cell r="N57">
            <v>2.5669</v>
          </cell>
          <cell r="O57">
            <v>39531.589999999997</v>
          </cell>
          <cell r="P57">
            <v>31</v>
          </cell>
          <cell r="Q57">
            <v>75.769629990336796</v>
          </cell>
          <cell r="R57">
            <v>3.5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93249088.593630105</v>
          </cell>
          <cell r="Z57">
            <v>-21364974.756623901</v>
          </cell>
          <cell r="AA57">
            <v>8521152.9985593706</v>
          </cell>
          <cell r="AB57">
            <v>18987700.293117099</v>
          </cell>
          <cell r="AC57">
            <v>12612939.3349635</v>
          </cell>
          <cell r="AD57">
            <v>-2811334.03148149</v>
          </cell>
          <cell r="AE57">
            <v>-13023022.752160801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96171549.680003896</v>
          </cell>
          <cell r="AN57">
            <v>95829588.2802248</v>
          </cell>
          <cell r="AO57">
            <v>-84037740.280226305</v>
          </cell>
          <cell r="AP57">
            <v>0</v>
          </cell>
          <cell r="AQ57">
            <v>11791847.999998501</v>
          </cell>
        </row>
        <row r="58">
          <cell r="A58" t="str">
            <v>0_10_2005</v>
          </cell>
          <cell r="B58">
            <v>0</v>
          </cell>
          <cell r="C58">
            <v>10</v>
          </cell>
          <cell r="D58">
            <v>2005</v>
          </cell>
          <cell r="E58">
            <v>1181250675.99999</v>
          </cell>
          <cell r="F58">
            <v>1148429422.99999</v>
          </cell>
          <cell r="G58">
            <v>1216262132</v>
          </cell>
          <cell r="H58">
            <v>67832709.000002593</v>
          </cell>
          <cell r="I58">
            <v>1233637344.04125</v>
          </cell>
          <cell r="J58">
            <v>86870455.369768098</v>
          </cell>
          <cell r="K58">
            <v>237636560.59999901</v>
          </cell>
          <cell r="L58">
            <v>1.2010509109999901</v>
          </cell>
          <cell r="M58">
            <v>27081157.499999899</v>
          </cell>
          <cell r="N58">
            <v>3.0314999999999901</v>
          </cell>
          <cell r="O58">
            <v>38116.919999999896</v>
          </cell>
          <cell r="P58">
            <v>30.68</v>
          </cell>
          <cell r="Q58">
            <v>73.864023075675206</v>
          </cell>
          <cell r="R58">
            <v>3.5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23928056.766304702</v>
          </cell>
          <cell r="Z58">
            <v>30407529.612046599</v>
          </cell>
          <cell r="AA58">
            <v>8374854.9970402904</v>
          </cell>
          <cell r="AB58">
            <v>25045053.773637298</v>
          </cell>
          <cell r="AC58">
            <v>11578081.6630034</v>
          </cell>
          <cell r="AD58">
            <v>-2525235.9076405298</v>
          </cell>
          <cell r="AE58">
            <v>-11885828.716871001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84922512.187520906</v>
          </cell>
          <cell r="AN58">
            <v>86996396.496611193</v>
          </cell>
          <cell r="AO58">
            <v>-19163687.496608499</v>
          </cell>
          <cell r="AP58">
            <v>0</v>
          </cell>
          <cell r="AQ58">
            <v>67832709.000002593</v>
          </cell>
        </row>
        <row r="59">
          <cell r="A59" t="str">
            <v>0_10_2006</v>
          </cell>
          <cell r="B59">
            <v>0</v>
          </cell>
          <cell r="C59">
            <v>10</v>
          </cell>
          <cell r="D59">
            <v>2006</v>
          </cell>
          <cell r="E59">
            <v>1181250675.99999</v>
          </cell>
          <cell r="F59">
            <v>1216262132</v>
          </cell>
          <cell r="G59">
            <v>1175257656</v>
          </cell>
          <cell r="H59">
            <v>-41004476</v>
          </cell>
          <cell r="I59">
            <v>889058401.11759603</v>
          </cell>
          <cell r="J59">
            <v>-344578942.92365903</v>
          </cell>
          <cell r="K59">
            <v>232556806.80000001</v>
          </cell>
          <cell r="L59">
            <v>2.8463145299999901</v>
          </cell>
          <cell r="M59">
            <v>27655014.75</v>
          </cell>
          <cell r="N59">
            <v>3.3499999999999899</v>
          </cell>
          <cell r="O59">
            <v>36028.75</v>
          </cell>
          <cell r="P59">
            <v>30.18</v>
          </cell>
          <cell r="Q59">
            <v>71.580004948312606</v>
          </cell>
          <cell r="R59">
            <v>3.69999999999999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-21691969.9586115</v>
          </cell>
          <cell r="Z59">
            <v>-341739196.627213</v>
          </cell>
          <cell r="AA59">
            <v>9644628.1697064303</v>
          </cell>
          <cell r="AB59">
            <v>16404459.5454963</v>
          </cell>
          <cell r="AC59">
            <v>19009721.833808102</v>
          </cell>
          <cell r="AD59">
            <v>-4176150.1691745198</v>
          </cell>
          <cell r="AE59">
            <v>-15071997.5653794</v>
          </cell>
          <cell r="AF59">
            <v>-729557.21915884898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-338350061.99052602</v>
          </cell>
          <cell r="AN59">
            <v>-339725707.71059698</v>
          </cell>
          <cell r="AO59">
            <v>298721231.71059698</v>
          </cell>
          <cell r="AP59">
            <v>0</v>
          </cell>
          <cell r="AQ59">
            <v>-41004476</v>
          </cell>
        </row>
        <row r="60">
          <cell r="A60" t="str">
            <v>0_10_2007</v>
          </cell>
          <cell r="B60">
            <v>0</v>
          </cell>
          <cell r="C60">
            <v>10</v>
          </cell>
          <cell r="D60">
            <v>2007</v>
          </cell>
          <cell r="E60">
            <v>1181250675.99999</v>
          </cell>
          <cell r="F60">
            <v>1175257656</v>
          </cell>
          <cell r="G60">
            <v>1227012502.99999</v>
          </cell>
          <cell r="H60">
            <v>51754846.999997303</v>
          </cell>
          <cell r="I60">
            <v>1319077523.19275</v>
          </cell>
          <cell r="J60">
            <v>430019122.07516199</v>
          </cell>
          <cell r="K60">
            <v>259672401.80000001</v>
          </cell>
          <cell r="L60">
            <v>1.304104481</v>
          </cell>
          <cell r="M60">
            <v>27714120</v>
          </cell>
          <cell r="N60">
            <v>3.4605999999999901</v>
          </cell>
          <cell r="O60">
            <v>36660.58</v>
          </cell>
          <cell r="P60">
            <v>30.4</v>
          </cell>
          <cell r="Q60">
            <v>71.140340863312602</v>
          </cell>
          <cell r="R60">
            <v>3.6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113061085.24358</v>
          </cell>
          <cell r="Z60">
            <v>415652234.10249197</v>
          </cell>
          <cell r="AA60">
            <v>945502.97414547496</v>
          </cell>
          <cell r="AB60">
            <v>5210650.3398499498</v>
          </cell>
          <cell r="AC60">
            <v>-5610689.9355594702</v>
          </cell>
          <cell r="AD60">
            <v>1779959.08456769</v>
          </cell>
          <cell r="AE60">
            <v>-2817616.9055176699</v>
          </cell>
          <cell r="AF60">
            <v>352639.29125317797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528573764.194812</v>
          </cell>
          <cell r="AN60">
            <v>568447769.92145598</v>
          </cell>
          <cell r="AO60">
            <v>-516692922.92145902</v>
          </cell>
          <cell r="AP60">
            <v>0</v>
          </cell>
          <cell r="AQ60">
            <v>51754846.999997303</v>
          </cell>
        </row>
        <row r="61">
          <cell r="A61" t="str">
            <v>0_10_2008</v>
          </cell>
          <cell r="B61">
            <v>0</v>
          </cell>
          <cell r="C61">
            <v>10</v>
          </cell>
          <cell r="D61">
            <v>2008</v>
          </cell>
          <cell r="E61">
            <v>1181250675.99999</v>
          </cell>
          <cell r="F61">
            <v>1227012502.99999</v>
          </cell>
          <cell r="G61">
            <v>1251501816.99999</v>
          </cell>
          <cell r="H61">
            <v>24489314.000001099</v>
          </cell>
          <cell r="I61">
            <v>1354286864.8382499</v>
          </cell>
          <cell r="J61">
            <v>35209341.645492002</v>
          </cell>
          <cell r="K61">
            <v>264123690.59999901</v>
          </cell>
          <cell r="L61">
            <v>1.309717561</v>
          </cell>
          <cell r="M61">
            <v>27956797.669999901</v>
          </cell>
          <cell r="N61">
            <v>3.9195000000000002</v>
          </cell>
          <cell r="O61">
            <v>36716.94</v>
          </cell>
          <cell r="P61">
            <v>30.42</v>
          </cell>
          <cell r="Q61">
            <v>69.981314054055801</v>
          </cell>
          <cell r="R61">
            <v>3.69999999999999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17492466.799969401</v>
          </cell>
          <cell r="Z61">
            <v>-1763036.0560709699</v>
          </cell>
          <cell r="AA61">
            <v>4036111.5801089099</v>
          </cell>
          <cell r="AB61">
            <v>21354225.1981236</v>
          </cell>
          <cell r="AC61">
            <v>-518736.39399886702</v>
          </cell>
          <cell r="AD61">
            <v>168824.09911894199</v>
          </cell>
          <cell r="AE61">
            <v>-7739593.4216007702</v>
          </cell>
          <cell r="AF61">
            <v>-368058.03857779899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32662203.767072599</v>
          </cell>
          <cell r="AN61">
            <v>32751905.526256099</v>
          </cell>
          <cell r="AO61">
            <v>-8262591.5262549603</v>
          </cell>
          <cell r="AP61">
            <v>0</v>
          </cell>
          <cell r="AQ61">
            <v>24489314.000001099</v>
          </cell>
        </row>
        <row r="62">
          <cell r="A62" t="str">
            <v>0_10_2009</v>
          </cell>
          <cell r="B62">
            <v>0</v>
          </cell>
          <cell r="C62">
            <v>10</v>
          </cell>
          <cell r="D62">
            <v>2009</v>
          </cell>
          <cell r="E62">
            <v>1181250675.99999</v>
          </cell>
          <cell r="F62">
            <v>1251501816.99999</v>
          </cell>
          <cell r="G62">
            <v>1217355181.99999</v>
          </cell>
          <cell r="H62">
            <v>-34146635.000001401</v>
          </cell>
          <cell r="I62">
            <v>1291064740.7649601</v>
          </cell>
          <cell r="J62">
            <v>-63222124.073289603</v>
          </cell>
          <cell r="K62">
            <v>266283654.40000001</v>
          </cell>
          <cell r="L62">
            <v>1.3667836019999999</v>
          </cell>
          <cell r="M62">
            <v>27734538</v>
          </cell>
          <cell r="N62">
            <v>2.84309999999999</v>
          </cell>
          <cell r="O62">
            <v>35494.29</v>
          </cell>
          <cell r="P62">
            <v>30.61</v>
          </cell>
          <cell r="Q62">
            <v>69.306750843060897</v>
          </cell>
          <cell r="R62">
            <v>3.8999999999999901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8517953.1299246605</v>
          </cell>
          <cell r="Z62">
            <v>-17921127.8356275</v>
          </cell>
          <cell r="AA62">
            <v>-3757083.1034602402</v>
          </cell>
          <cell r="AB62">
            <v>-53282326.185919099</v>
          </cell>
          <cell r="AC62">
            <v>11721348.703337699</v>
          </cell>
          <cell r="AD62">
            <v>1636795.83697667</v>
          </cell>
          <cell r="AE62">
            <v>-4600485.5235641701</v>
          </cell>
          <cell r="AF62">
            <v>-750695.23366757703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-58435620.211999498</v>
          </cell>
          <cell r="AN62">
            <v>-58423813.452382103</v>
          </cell>
          <cell r="AO62">
            <v>24277178.452380698</v>
          </cell>
          <cell r="AP62">
            <v>0</v>
          </cell>
          <cell r="AQ62">
            <v>-34146635.000001401</v>
          </cell>
        </row>
        <row r="63">
          <cell r="A63" t="str">
            <v>0_10_2010</v>
          </cell>
          <cell r="B63">
            <v>0</v>
          </cell>
          <cell r="C63">
            <v>10</v>
          </cell>
          <cell r="D63">
            <v>2010</v>
          </cell>
          <cell r="E63">
            <v>1181250675.99999</v>
          </cell>
          <cell r="F63">
            <v>1217355181.99999</v>
          </cell>
          <cell r="G63">
            <v>1196278265</v>
          </cell>
          <cell r="H63">
            <v>-21076916.999997102</v>
          </cell>
          <cell r="I63">
            <v>1197759342.35531</v>
          </cell>
          <cell r="J63">
            <v>-93305398.409645796</v>
          </cell>
          <cell r="K63">
            <v>239565977.09999901</v>
          </cell>
          <cell r="L63">
            <v>1.4022103509999999</v>
          </cell>
          <cell r="M63">
            <v>27553600.749999899</v>
          </cell>
          <cell r="N63">
            <v>3.2889999999999899</v>
          </cell>
          <cell r="O63">
            <v>35213</v>
          </cell>
          <cell r="P63">
            <v>30.93</v>
          </cell>
          <cell r="Q63">
            <v>69.408651159993099</v>
          </cell>
          <cell r="R63">
            <v>3.8999999999999901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-102614365.17514201</v>
          </cell>
          <cell r="Z63">
            <v>-10641637.3632864</v>
          </cell>
          <cell r="AA63">
            <v>-2997618.13198097</v>
          </cell>
          <cell r="AB63">
            <v>23774975.205662701</v>
          </cell>
          <cell r="AC63">
            <v>2669109.7590602799</v>
          </cell>
          <cell r="AD63">
            <v>2682692.892273</v>
          </cell>
          <cell r="AE63">
            <v>677427.20984128304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-86449415.603572503</v>
          </cell>
          <cell r="AN63">
            <v>-87978400.057038695</v>
          </cell>
          <cell r="AO63">
            <v>66901483.057041503</v>
          </cell>
          <cell r="AP63">
            <v>0</v>
          </cell>
          <cell r="AQ63">
            <v>-21076916.999997102</v>
          </cell>
        </row>
        <row r="64">
          <cell r="A64" t="str">
            <v>0_10_2011</v>
          </cell>
          <cell r="B64">
            <v>0</v>
          </cell>
          <cell r="C64">
            <v>10</v>
          </cell>
          <cell r="D64">
            <v>2011</v>
          </cell>
          <cell r="E64">
            <v>1181250675.99999</v>
          </cell>
          <cell r="F64">
            <v>1196278265</v>
          </cell>
          <cell r="G64">
            <v>1164230021.99999</v>
          </cell>
          <cell r="H64">
            <v>-32048243.000002299</v>
          </cell>
          <cell r="I64">
            <v>1176872417.08812</v>
          </cell>
          <cell r="J64">
            <v>-20886925.2671864</v>
          </cell>
          <cell r="K64">
            <v>232263928.59999901</v>
          </cell>
          <cell r="L64">
            <v>1.4707099699999899</v>
          </cell>
          <cell r="M64">
            <v>27682634.670000002</v>
          </cell>
          <cell r="N64">
            <v>4.0655999999999999</v>
          </cell>
          <cell r="O64">
            <v>34147.68</v>
          </cell>
          <cell r="P64">
            <v>31.3</v>
          </cell>
          <cell r="Q64">
            <v>68.613917826660796</v>
          </cell>
          <cell r="R64">
            <v>3.8999999999999901</v>
          </cell>
          <cell r="S64">
            <v>1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-30446034.406770598</v>
          </cell>
          <cell r="Z64">
            <v>-19712443.664353698</v>
          </cell>
          <cell r="AA64">
            <v>2107131.8471218999</v>
          </cell>
          <cell r="AB64">
            <v>35596993.176757202</v>
          </cell>
          <cell r="AC64">
            <v>10159012.3209747</v>
          </cell>
          <cell r="AD64">
            <v>3048683.3936156202</v>
          </cell>
          <cell r="AE64">
            <v>-5179177.6255986299</v>
          </cell>
          <cell r="AF64">
            <v>0</v>
          </cell>
          <cell r="AG64">
            <v>-15381981.009952599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-19807815.9682061</v>
          </cell>
          <cell r="AN64">
            <v>-20861097.748300601</v>
          </cell>
          <cell r="AO64">
            <v>-11187145.2517017</v>
          </cell>
          <cell r="AP64">
            <v>0</v>
          </cell>
          <cell r="AQ64">
            <v>-32048243.000002299</v>
          </cell>
        </row>
        <row r="65">
          <cell r="A65" t="str">
            <v>0_10_2012</v>
          </cell>
          <cell r="B65">
            <v>0</v>
          </cell>
          <cell r="C65">
            <v>10</v>
          </cell>
          <cell r="D65">
            <v>2012</v>
          </cell>
          <cell r="E65">
            <v>1181250675.99999</v>
          </cell>
          <cell r="F65">
            <v>1164230021.99999</v>
          </cell>
          <cell r="G65">
            <v>1177871709.99999</v>
          </cell>
          <cell r="H65">
            <v>13641688.0000007</v>
          </cell>
          <cell r="I65">
            <v>1206010433.7934699</v>
          </cell>
          <cell r="J65">
            <v>29138016.705342699</v>
          </cell>
          <cell r="K65">
            <v>239688350.09999901</v>
          </cell>
          <cell r="L65">
            <v>1.45326645199999</v>
          </cell>
          <cell r="M65">
            <v>27909105.420000002</v>
          </cell>
          <cell r="N65">
            <v>4.1093000000000002</v>
          </cell>
          <cell r="O65">
            <v>33963.31</v>
          </cell>
          <cell r="P65">
            <v>31.51</v>
          </cell>
          <cell r="Q65">
            <v>68.630248062319694</v>
          </cell>
          <cell r="R65">
            <v>4.0999999999999996</v>
          </cell>
          <cell r="S65">
            <v>2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30912395.638128798</v>
          </cell>
          <cell r="Z65">
            <v>4884859.0086503001</v>
          </cell>
          <cell r="AA65">
            <v>3578543.77505932</v>
          </cell>
          <cell r="AB65">
            <v>1763383.8307264401</v>
          </cell>
          <cell r="AC65">
            <v>1736269.5604604401</v>
          </cell>
          <cell r="AD65">
            <v>1683051.46932922</v>
          </cell>
          <cell r="AE65">
            <v>103800.53460027699</v>
          </cell>
          <cell r="AF65">
            <v>-698346.51179583301</v>
          </cell>
          <cell r="AG65">
            <v>-14969898.4037135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28994058.901445299</v>
          </cell>
          <cell r="AN65">
            <v>28825005.444372799</v>
          </cell>
          <cell r="AO65">
            <v>-15183317.444372101</v>
          </cell>
          <cell r="AP65">
            <v>0</v>
          </cell>
          <cell r="AQ65">
            <v>13641688.0000007</v>
          </cell>
        </row>
        <row r="66">
          <cell r="A66" t="str">
            <v>0_10_2013</v>
          </cell>
          <cell r="B66">
            <v>0</v>
          </cell>
          <cell r="C66">
            <v>10</v>
          </cell>
          <cell r="D66">
            <v>2013</v>
          </cell>
          <cell r="E66">
            <v>1181250675.99999</v>
          </cell>
          <cell r="F66">
            <v>1177871709.99999</v>
          </cell>
          <cell r="G66">
            <v>1199896222</v>
          </cell>
          <cell r="H66">
            <v>22024512.0000026</v>
          </cell>
          <cell r="I66">
            <v>1275282700.5592599</v>
          </cell>
          <cell r="J66">
            <v>69272266.765793502</v>
          </cell>
          <cell r="K66">
            <v>276221305.39999902</v>
          </cell>
          <cell r="L66">
            <v>1.666110003</v>
          </cell>
          <cell r="M66">
            <v>28818049.079999998</v>
          </cell>
          <cell r="N66">
            <v>3.94199999999999</v>
          </cell>
          <cell r="O66">
            <v>33700.32</v>
          </cell>
          <cell r="P66">
            <v>29.93</v>
          </cell>
          <cell r="Q66">
            <v>66.429372522682499</v>
          </cell>
          <cell r="R66">
            <v>4.2</v>
          </cell>
          <cell r="S66">
            <v>3</v>
          </cell>
          <cell r="T66">
            <v>0</v>
          </cell>
          <cell r="U66">
            <v>0</v>
          </cell>
          <cell r="V66">
            <v>0</v>
          </cell>
          <cell r="W66">
            <v>1</v>
          </cell>
          <cell r="X66">
            <v>0</v>
          </cell>
          <cell r="Y66">
            <v>147718721.09775001</v>
          </cell>
          <cell r="Z66">
            <v>-56512277.185763597</v>
          </cell>
          <cell r="AA66">
            <v>14305460.9290729</v>
          </cell>
          <cell r="AB66">
            <v>-6889124.9774862099</v>
          </cell>
          <cell r="AC66">
            <v>2523070.3283442799</v>
          </cell>
          <cell r="AD66">
            <v>-12732763.179368</v>
          </cell>
          <cell r="AE66">
            <v>-14068115.4334305</v>
          </cell>
          <cell r="AF66">
            <v>-353317.631416897</v>
          </cell>
          <cell r="AG66">
            <v>-15145305.908722199</v>
          </cell>
          <cell r="AH66">
            <v>0</v>
          </cell>
          <cell r="AI66">
            <v>0</v>
          </cell>
          <cell r="AJ66">
            <v>0</v>
          </cell>
          <cell r="AK66">
            <v>17381577.7803532</v>
          </cell>
          <cell r="AL66">
            <v>0</v>
          </cell>
          <cell r="AM66">
            <v>76227925.819333494</v>
          </cell>
          <cell r="AN66">
            <v>67656001.162734702</v>
          </cell>
          <cell r="AO66">
            <v>-45631489.162731998</v>
          </cell>
          <cell r="AP66">
            <v>0</v>
          </cell>
          <cell r="AQ66">
            <v>22024512.0000026</v>
          </cell>
        </row>
        <row r="67">
          <cell r="A67" t="str">
            <v>0_10_2014</v>
          </cell>
          <cell r="B67">
            <v>0</v>
          </cell>
          <cell r="C67">
            <v>10</v>
          </cell>
          <cell r="D67">
            <v>2014</v>
          </cell>
          <cell r="E67">
            <v>1181250675.99999</v>
          </cell>
          <cell r="F67">
            <v>1199896222</v>
          </cell>
          <cell r="G67">
            <v>1192647739.99999</v>
          </cell>
          <cell r="H67">
            <v>-7248482.0000021402</v>
          </cell>
          <cell r="I67">
            <v>1274798986.8549399</v>
          </cell>
          <cell r="J67">
            <v>-483713.70432090701</v>
          </cell>
          <cell r="K67">
            <v>282626037.69999897</v>
          </cell>
          <cell r="L67">
            <v>1.6985871779999999</v>
          </cell>
          <cell r="M67">
            <v>29110612.079999998</v>
          </cell>
          <cell r="N67">
            <v>3.75239999999999</v>
          </cell>
          <cell r="O67">
            <v>33580.799999999901</v>
          </cell>
          <cell r="P67">
            <v>30.1999999999999</v>
          </cell>
          <cell r="Q67">
            <v>66.590503712184997</v>
          </cell>
          <cell r="R67">
            <v>4.2</v>
          </cell>
          <cell r="S67">
            <v>4</v>
          </cell>
          <cell r="T67">
            <v>0</v>
          </cell>
          <cell r="U67">
            <v>0</v>
          </cell>
          <cell r="V67">
            <v>0</v>
          </cell>
          <cell r="W67">
            <v>1</v>
          </cell>
          <cell r="X67">
            <v>0</v>
          </cell>
          <cell r="Y67">
            <v>23126674.415497702</v>
          </cell>
          <cell r="Z67">
            <v>-8554862.0840624403</v>
          </cell>
          <cell r="AA67">
            <v>4574002.8134402903</v>
          </cell>
          <cell r="AB67">
            <v>-8242253.6456187796</v>
          </cell>
          <cell r="AC67">
            <v>1174043.8901595499</v>
          </cell>
          <cell r="AD67">
            <v>2230675.5571710002</v>
          </cell>
          <cell r="AE67">
            <v>1055998.54336913</v>
          </cell>
          <cell r="AF67">
            <v>0</v>
          </cell>
          <cell r="AG67">
            <v>-15428501.4120172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-64221.922060651697</v>
          </cell>
          <cell r="AN67">
            <v>-455119.673535724</v>
          </cell>
          <cell r="AO67">
            <v>-6793362.3264664197</v>
          </cell>
          <cell r="AP67">
            <v>0</v>
          </cell>
          <cell r="AQ67">
            <v>-7248482.0000021402</v>
          </cell>
        </row>
        <row r="68">
          <cell r="A68" t="str">
            <v>0_10_2015</v>
          </cell>
          <cell r="B68">
            <v>0</v>
          </cell>
          <cell r="C68">
            <v>10</v>
          </cell>
          <cell r="D68">
            <v>2015</v>
          </cell>
          <cell r="E68">
            <v>1181250675.99999</v>
          </cell>
          <cell r="F68">
            <v>1192647739.99999</v>
          </cell>
          <cell r="G68">
            <v>1160473735.99999</v>
          </cell>
          <cell r="H68">
            <v>-32174004.000001401</v>
          </cell>
          <cell r="I68">
            <v>1189661885.0058899</v>
          </cell>
          <cell r="J68">
            <v>-85137101.849045902</v>
          </cell>
          <cell r="K68">
            <v>280202617.09999901</v>
          </cell>
          <cell r="L68">
            <v>1.721242055</v>
          </cell>
          <cell r="M68">
            <v>29378317.829999901</v>
          </cell>
          <cell r="N68">
            <v>2.7029999999999998</v>
          </cell>
          <cell r="O68">
            <v>34173.339999999902</v>
          </cell>
          <cell r="P68">
            <v>30.17</v>
          </cell>
          <cell r="Q68">
            <v>66.804748020605103</v>
          </cell>
          <cell r="R68">
            <v>4.0999999999999996</v>
          </cell>
          <cell r="S68">
            <v>5</v>
          </cell>
          <cell r="T68">
            <v>0</v>
          </cell>
          <cell r="U68">
            <v>0</v>
          </cell>
          <cell r="V68">
            <v>0</v>
          </cell>
          <cell r="W68">
            <v>1</v>
          </cell>
          <cell r="X68">
            <v>0</v>
          </cell>
          <cell r="Y68">
            <v>-8523179.7348037697</v>
          </cell>
          <cell r="Z68">
            <v>-5877630.3038370302</v>
          </cell>
          <cell r="AA68">
            <v>4119503.7228816599</v>
          </cell>
          <cell r="AB68">
            <v>-51295366.254932001</v>
          </cell>
          <cell r="AC68">
            <v>-5728494.9391331896</v>
          </cell>
          <cell r="AD68">
            <v>-246101.47349733301</v>
          </cell>
          <cell r="AE68">
            <v>1395804.1318252899</v>
          </cell>
          <cell r="AF68">
            <v>357857.23377436498</v>
          </cell>
          <cell r="AG68">
            <v>-15335299.006074401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-81132906.623796493</v>
          </cell>
          <cell r="AN68">
            <v>-79650653.285283998</v>
          </cell>
          <cell r="AO68">
            <v>47476649.2852825</v>
          </cell>
          <cell r="AP68">
            <v>0</v>
          </cell>
          <cell r="AQ68">
            <v>-32174004.000001401</v>
          </cell>
        </row>
        <row r="69">
          <cell r="A69" t="str">
            <v>0_10_2016</v>
          </cell>
          <cell r="B69">
            <v>0</v>
          </cell>
          <cell r="C69">
            <v>10</v>
          </cell>
          <cell r="D69">
            <v>2016</v>
          </cell>
          <cell r="E69">
            <v>1181250675.99999</v>
          </cell>
          <cell r="F69">
            <v>1160473735.99999</v>
          </cell>
          <cell r="G69">
            <v>1162084608.99999</v>
          </cell>
          <cell r="H69">
            <v>1610873.0000004701</v>
          </cell>
          <cell r="I69">
            <v>1138047452.47119</v>
          </cell>
          <cell r="J69">
            <v>-51614432.534701303</v>
          </cell>
          <cell r="K69">
            <v>279086354.60000002</v>
          </cell>
          <cell r="L69">
            <v>1.74351720399999</v>
          </cell>
          <cell r="M69">
            <v>29437697.499999899</v>
          </cell>
          <cell r="N69">
            <v>2.4255</v>
          </cell>
          <cell r="O69">
            <v>35302.049999999901</v>
          </cell>
          <cell r="P69">
            <v>29.88</v>
          </cell>
          <cell r="Q69">
            <v>67.140437302771304</v>
          </cell>
          <cell r="R69">
            <v>4.5</v>
          </cell>
          <cell r="S69">
            <v>6</v>
          </cell>
          <cell r="T69">
            <v>0</v>
          </cell>
          <cell r="U69">
            <v>0</v>
          </cell>
          <cell r="V69">
            <v>0</v>
          </cell>
          <cell r="W69">
            <v>1</v>
          </cell>
          <cell r="X69">
            <v>0</v>
          </cell>
          <cell r="Y69">
            <v>-3851544.5180977602</v>
          </cell>
          <cell r="Z69">
            <v>-5577317.6307692202</v>
          </cell>
          <cell r="AA69">
            <v>882956.88462033099</v>
          </cell>
          <cell r="AB69">
            <v>-15818604.316186201</v>
          </cell>
          <cell r="AC69">
            <v>-10333914.407080799</v>
          </cell>
          <cell r="AD69">
            <v>-2312734.4946436202</v>
          </cell>
          <cell r="AE69">
            <v>2128726.1615457302</v>
          </cell>
          <cell r="AF69">
            <v>-1391769.17460054</v>
          </cell>
          <cell r="AG69">
            <v>-14921599.340184299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-51195800.835396402</v>
          </cell>
          <cell r="AN69">
            <v>-50348081.341420598</v>
          </cell>
          <cell r="AO69">
            <v>51958954.341421001</v>
          </cell>
          <cell r="AP69">
            <v>0</v>
          </cell>
          <cell r="AQ69">
            <v>1610873.0000004701</v>
          </cell>
        </row>
        <row r="70">
          <cell r="A70" t="str">
            <v>0_10_2017</v>
          </cell>
          <cell r="B70">
            <v>0</v>
          </cell>
          <cell r="C70">
            <v>10</v>
          </cell>
          <cell r="D70">
            <v>2017</v>
          </cell>
          <cell r="E70">
            <v>1181250675.99999</v>
          </cell>
          <cell r="F70">
            <v>1162084608.99999</v>
          </cell>
          <cell r="G70">
            <v>1100306571</v>
          </cell>
          <cell r="H70">
            <v>-61778037.999998502</v>
          </cell>
          <cell r="I70">
            <v>1116447507.1196899</v>
          </cell>
          <cell r="J70">
            <v>-21599945.351505902</v>
          </cell>
          <cell r="K70">
            <v>274821215.5</v>
          </cell>
          <cell r="L70">
            <v>1.7724292479999999</v>
          </cell>
          <cell r="M70">
            <v>29668394.669999901</v>
          </cell>
          <cell r="N70">
            <v>2.6928000000000001</v>
          </cell>
          <cell r="O70">
            <v>35945.819999999898</v>
          </cell>
          <cell r="P70">
            <v>30</v>
          </cell>
          <cell r="Q70">
            <v>67.2815187691711</v>
          </cell>
          <cell r="R70">
            <v>4.5</v>
          </cell>
          <cell r="S70">
            <v>7</v>
          </cell>
          <cell r="T70">
            <v>0</v>
          </cell>
          <cell r="U70">
            <v>0</v>
          </cell>
          <cell r="V70">
            <v>0</v>
          </cell>
          <cell r="W70">
            <v>1</v>
          </cell>
          <cell r="X70">
            <v>0</v>
          </cell>
          <cell r="Y70">
            <v>-14809851.3987491</v>
          </cell>
          <cell r="Z70">
            <v>-7176946.8048193697</v>
          </cell>
          <cell r="AA70">
            <v>3422041.8896477399</v>
          </cell>
          <cell r="AB70">
            <v>15487026.8810213</v>
          </cell>
          <cell r="AC70">
            <v>-5766467.04792694</v>
          </cell>
          <cell r="AD70">
            <v>959674.24597962096</v>
          </cell>
          <cell r="AE70">
            <v>895414.16852235305</v>
          </cell>
          <cell r="AF70">
            <v>0</v>
          </cell>
          <cell r="AG70">
            <v>-14942312.261768101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-21931420.328092601</v>
          </cell>
          <cell r="AN70">
            <v>-22056166.457489099</v>
          </cell>
          <cell r="AO70">
            <v>-39721871.542509302</v>
          </cell>
          <cell r="AP70">
            <v>0</v>
          </cell>
          <cell r="AQ70">
            <v>-61778037.999998502</v>
          </cell>
        </row>
        <row r="71">
          <cell r="A71" t="str">
            <v>0_10_2018</v>
          </cell>
          <cell r="B71">
            <v>0</v>
          </cell>
          <cell r="C71">
            <v>10</v>
          </cell>
          <cell r="D71">
            <v>2018</v>
          </cell>
          <cell r="E71">
            <v>1181250675.99999</v>
          </cell>
          <cell r="F71">
            <v>1100306571</v>
          </cell>
          <cell r="G71">
            <v>1107464473.99999</v>
          </cell>
          <cell r="H71">
            <v>7157902.9999992801</v>
          </cell>
          <cell r="I71">
            <v>1061731670.91231</v>
          </cell>
          <cell r="J71">
            <v>-54715836.207377002</v>
          </cell>
          <cell r="K71">
            <v>274036302.39999998</v>
          </cell>
          <cell r="L71">
            <v>1.7403283429999901</v>
          </cell>
          <cell r="M71">
            <v>29807700.839999899</v>
          </cell>
          <cell r="N71">
            <v>2.9199999999999902</v>
          </cell>
          <cell r="O71">
            <v>36801.5</v>
          </cell>
          <cell r="P71">
            <v>30.01</v>
          </cell>
          <cell r="Q71">
            <v>67.468769080655605</v>
          </cell>
          <cell r="R71">
            <v>4.5999999999999996</v>
          </cell>
          <cell r="S71">
            <v>8</v>
          </cell>
          <cell r="T71">
            <v>0</v>
          </cell>
          <cell r="U71">
            <v>0</v>
          </cell>
          <cell r="V71">
            <v>0</v>
          </cell>
          <cell r="W71">
            <v>1</v>
          </cell>
          <cell r="X71">
            <v>1</v>
          </cell>
          <cell r="Y71">
            <v>-2617878.3117161901</v>
          </cell>
          <cell r="Z71">
            <v>7598819.5620828401</v>
          </cell>
          <cell r="AA71">
            <v>1943221.49305579</v>
          </cell>
          <cell r="AB71">
            <v>11636394.0593514</v>
          </cell>
          <cell r="AC71">
            <v>-7102382.7486467501</v>
          </cell>
          <cell r="AD71">
            <v>75692.739882557697</v>
          </cell>
          <cell r="AE71">
            <v>1125400.8651686199</v>
          </cell>
          <cell r="AF71">
            <v>-330050.979404343</v>
          </cell>
          <cell r="AG71">
            <v>-14147958.1092682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-51996124.171031199</v>
          </cell>
          <cell r="AM71">
            <v>-53814865.600525498</v>
          </cell>
          <cell r="AN71">
            <v>-53924787.088339403</v>
          </cell>
          <cell r="AO71">
            <v>61082690.088338703</v>
          </cell>
          <cell r="AP71">
            <v>0</v>
          </cell>
          <cell r="AQ71">
            <v>7157902.9999992801</v>
          </cell>
        </row>
        <row r="74">
          <cell r="C74" t="str">
            <v>Rail Factors Affecting Change</v>
          </cell>
        </row>
        <row r="75">
          <cell r="B75" t="str">
            <v>RAIL_FLAG</v>
          </cell>
          <cell r="C75" t="str">
            <v>CLUSTER_APTA</v>
          </cell>
          <cell r="D75" t="str">
            <v>Year</v>
          </cell>
          <cell r="E75" t="str">
            <v>UPT_ADJ_first_year</v>
          </cell>
          <cell r="F75" t="str">
            <v>UPT_ADJ_base</v>
          </cell>
          <cell r="G75" t="str">
            <v>UPT_ADJ</v>
          </cell>
          <cell r="H75" t="str">
            <v>UPT_ADJ_diff</v>
          </cell>
          <cell r="I75" t="str">
            <v>fitted_exp</v>
          </cell>
          <cell r="J75" t="str">
            <v>fitted_exp_diff</v>
          </cell>
          <cell r="K75" t="str">
            <v>VRM_ADJ</v>
          </cell>
          <cell r="L75" t="str">
            <v>FARE_per_UPT_2018</v>
          </cell>
          <cell r="M75" t="str">
            <v>POP_EMP</v>
          </cell>
          <cell r="N75" t="str">
            <v>GAS_PRICE_2018</v>
          </cell>
          <cell r="O75" t="str">
            <v>TOTAL_MED_INC_INDIV_2018</v>
          </cell>
          <cell r="P75" t="str">
            <v>PCT_HH_NO_VEH</v>
          </cell>
          <cell r="Q75" t="str">
            <v>TSD_POP_PCT</v>
          </cell>
          <cell r="R75" t="str">
            <v>JTW_HOME_PCT</v>
          </cell>
          <cell r="S75" t="str">
            <v>YEARS_SINCE_TNC_BUS2_HINY</v>
          </cell>
          <cell r="T75" t="str">
            <v>YEARS_SINCE_TNC_BUS2_MIDLOW</v>
          </cell>
          <cell r="U75" t="str">
            <v>YEARS_SINCE_TNC_RAIL2_HINY</v>
          </cell>
          <cell r="V75" t="str">
            <v>YEARS_SINCE_TNC_RAIL2_MIDLOW</v>
          </cell>
          <cell r="W75" t="str">
            <v>BIKE_SHARE</v>
          </cell>
          <cell r="X75" t="str">
            <v>scooter_flag</v>
          </cell>
          <cell r="Y75" t="str">
            <v>VRM_ADJ_log_FAC</v>
          </cell>
          <cell r="Z75" t="str">
            <v>FARE_per_UPT_2018_log_FAC</v>
          </cell>
          <cell r="AA75" t="str">
            <v>POP_EMP_log_FAC</v>
          </cell>
          <cell r="AB75" t="str">
            <v>GAS_PRICE_2018_log_FAC</v>
          </cell>
          <cell r="AC75" t="str">
            <v>TOTAL_MED_INC_INDIV_2018_log_FAC</v>
          </cell>
          <cell r="AD75" t="str">
            <v>PCT_HH_NO_VEH_FAC</v>
          </cell>
          <cell r="AE75" t="str">
            <v>TSD_POP_PCT_FAC</v>
          </cell>
          <cell r="AF75" t="str">
            <v>JTW_HOME_PCT_FAC</v>
          </cell>
          <cell r="AG75" t="str">
            <v>YEARS_SINCE_TNC_BUS2_HINY_FAC</v>
          </cell>
          <cell r="AH75" t="str">
            <v>YEARS_SINCE_TNC_BUS2_MIDLOW_FAC</v>
          </cell>
          <cell r="AI75" t="str">
            <v>YEARS_SINCE_TNC_RAIL2_HINY_FAC</v>
          </cell>
          <cell r="AJ75" t="str">
            <v>YEARS_SINCE_TNC_RAIL2_MIDLOW_FAC</v>
          </cell>
          <cell r="AK75" t="str">
            <v>BIKE_SHARE_FAC</v>
          </cell>
          <cell r="AL75" t="str">
            <v>scooter_flag_FAC</v>
          </cell>
          <cell r="AM75" t="str">
            <v>FAC_Sum</v>
          </cell>
          <cell r="AN75" t="str">
            <v>Known_FAC</v>
          </cell>
          <cell r="AO75" t="str">
            <v>Unknown_FAC</v>
          </cell>
          <cell r="AP75" t="str">
            <v>New_Reporter_FAC</v>
          </cell>
          <cell r="AQ75" t="str">
            <v>Total_Change</v>
          </cell>
        </row>
        <row r="76">
          <cell r="A76" t="str">
            <v>1_1_2002</v>
          </cell>
          <cell r="B76">
            <v>1</v>
          </cell>
          <cell r="C76">
            <v>1</v>
          </cell>
          <cell r="D76">
            <v>2002</v>
          </cell>
          <cell r="E76">
            <v>1245156786.0349901</v>
          </cell>
          <cell r="F76">
            <v>0</v>
          </cell>
          <cell r="G76">
            <v>1245156786.0349901</v>
          </cell>
          <cell r="H76">
            <v>0</v>
          </cell>
          <cell r="I76">
            <v>1150981624.3336101</v>
          </cell>
          <cell r="J76">
            <v>0</v>
          </cell>
          <cell r="K76">
            <v>50790944.785586298</v>
          </cell>
          <cell r="L76">
            <v>1.6704692312954099</v>
          </cell>
          <cell r="M76">
            <v>7791514.3145484803</v>
          </cell>
          <cell r="N76">
            <v>1.9485459692331899</v>
          </cell>
          <cell r="O76">
            <v>44145.033063417497</v>
          </cell>
          <cell r="P76">
            <v>11.2100882537149</v>
          </cell>
          <cell r="Q76">
            <v>46.2487282530657</v>
          </cell>
          <cell r="R76">
            <v>3.8890852807767402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1245156786.0349901</v>
          </cell>
          <cell r="AQ76">
            <v>1245156786.0349901</v>
          </cell>
        </row>
        <row r="77">
          <cell r="A77" t="str">
            <v>1_1_2003</v>
          </cell>
          <cell r="B77">
            <v>1</v>
          </cell>
          <cell r="C77">
            <v>1</v>
          </cell>
          <cell r="D77">
            <v>2003</v>
          </cell>
          <cell r="E77">
            <v>1245156786.0349901</v>
          </cell>
          <cell r="F77">
            <v>1245156786.0349901</v>
          </cell>
          <cell r="G77">
            <v>1240852436.5610001</v>
          </cell>
          <cell r="H77">
            <v>-4304349.4739991901</v>
          </cell>
          <cell r="I77">
            <v>1241507951.8777001</v>
          </cell>
          <cell r="J77">
            <v>90526327.544096693</v>
          </cell>
          <cell r="K77">
            <v>54594815.697126597</v>
          </cell>
          <cell r="L77">
            <v>1.64574687461127</v>
          </cell>
          <cell r="M77">
            <v>7930442.3940639701</v>
          </cell>
          <cell r="N77">
            <v>2.2197932369876199</v>
          </cell>
          <cell r="O77">
            <v>43133.034267847601</v>
          </cell>
          <cell r="P77">
            <v>11.127693144137799</v>
          </cell>
          <cell r="Q77">
            <v>44.604037040986903</v>
          </cell>
          <cell r="R77">
            <v>3.8890852807767402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68432595.2369802</v>
          </cell>
          <cell r="Z77">
            <v>6253586.14241332</v>
          </cell>
          <cell r="AA77">
            <v>8775763.8271190207</v>
          </cell>
          <cell r="AB77">
            <v>19341281.6826373</v>
          </cell>
          <cell r="AC77">
            <v>8109797.2898406899</v>
          </cell>
          <cell r="AD77">
            <v>-704019.431223294</v>
          </cell>
          <cell r="AE77">
            <v>-11112381.967998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99096622.779769301</v>
          </cell>
          <cell r="AN77">
            <v>100187531.82969201</v>
          </cell>
          <cell r="AO77">
            <v>-104491881.303692</v>
          </cell>
          <cell r="AP77">
            <v>0</v>
          </cell>
          <cell r="AQ77">
            <v>-4304349.4739991901</v>
          </cell>
        </row>
        <row r="78">
          <cell r="A78" t="str">
            <v>1_1_2004</v>
          </cell>
          <cell r="B78">
            <v>1</v>
          </cell>
          <cell r="C78">
            <v>1</v>
          </cell>
          <cell r="D78">
            <v>2004</v>
          </cell>
          <cell r="E78">
            <v>1255791480.0349901</v>
          </cell>
          <cell r="F78">
            <v>1240852436.5610001</v>
          </cell>
          <cell r="G78">
            <v>1282209441.9300001</v>
          </cell>
          <cell r="H78">
            <v>30722311.369000301</v>
          </cell>
          <cell r="I78">
            <v>1281210682.51653</v>
          </cell>
          <cell r="J78">
            <v>29441624.3164565</v>
          </cell>
          <cell r="K78">
            <v>54346609.316710599</v>
          </cell>
          <cell r="L78">
            <v>1.7005316999209901</v>
          </cell>
          <cell r="M78">
            <v>8091078.1043391004</v>
          </cell>
          <cell r="N78">
            <v>2.5428787132314201</v>
          </cell>
          <cell r="O78">
            <v>41713.967481929998</v>
          </cell>
          <cell r="P78">
            <v>11.013124731994401</v>
          </cell>
          <cell r="Q78">
            <v>42.983270353155703</v>
          </cell>
          <cell r="R78">
            <v>3.8837514572021599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-3266369.94066844</v>
          </cell>
          <cell r="Z78">
            <v>-4363664.8100563996</v>
          </cell>
          <cell r="AA78">
            <v>10502610.4237513</v>
          </cell>
          <cell r="AB78">
            <v>21224684.2007607</v>
          </cell>
          <cell r="AC78">
            <v>11101415.678304199</v>
          </cell>
          <cell r="AD78">
            <v>-699845.53892994602</v>
          </cell>
          <cell r="AE78">
            <v>-10636651.6228304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23862178.390331</v>
          </cell>
          <cell r="AN78">
            <v>33470993.1095048</v>
          </cell>
          <cell r="AO78">
            <v>-2748681.7405045098</v>
          </cell>
          <cell r="AP78">
            <v>10634694</v>
          </cell>
          <cell r="AQ78">
            <v>41357005.369000301</v>
          </cell>
        </row>
        <row r="79">
          <cell r="A79" t="str">
            <v>1_1_2005</v>
          </cell>
          <cell r="B79">
            <v>1</v>
          </cell>
          <cell r="C79">
            <v>1</v>
          </cell>
          <cell r="D79">
            <v>2005</v>
          </cell>
          <cell r="E79">
            <v>1255791480.0349901</v>
          </cell>
          <cell r="F79">
            <v>1282209441.9300001</v>
          </cell>
          <cell r="G79">
            <v>1349922859.79899</v>
          </cell>
          <cell r="H79">
            <v>67713417.8689982</v>
          </cell>
          <cell r="I79">
            <v>1339684320.3195701</v>
          </cell>
          <cell r="J79">
            <v>58473637.803038597</v>
          </cell>
          <cell r="K79">
            <v>54857952.934040204</v>
          </cell>
          <cell r="L79">
            <v>1.6562395254434701</v>
          </cell>
          <cell r="M79">
            <v>8272169.4611582002</v>
          </cell>
          <cell r="N79">
            <v>3.0058714680211001</v>
          </cell>
          <cell r="O79">
            <v>40515.220491200897</v>
          </cell>
          <cell r="P79">
            <v>10.921866295305801</v>
          </cell>
          <cell r="Q79">
            <v>41.559003999901499</v>
          </cell>
          <cell r="R79">
            <v>3.8837514572021599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8763018.7721771803</v>
          </cell>
          <cell r="Z79">
            <v>-7667893.7575046802</v>
          </cell>
          <cell r="AA79">
            <v>11081316.6647688</v>
          </cell>
          <cell r="AB79">
            <v>28174341.655845799</v>
          </cell>
          <cell r="AC79">
            <v>10507087.6787697</v>
          </cell>
          <cell r="AD79">
            <v>-842375.77027296601</v>
          </cell>
          <cell r="AE79">
            <v>-9544155.9539671801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40471339.289816797</v>
          </cell>
          <cell r="AN79">
            <v>45759500.078899197</v>
          </cell>
          <cell r="AO79">
            <v>21953917.790098999</v>
          </cell>
          <cell r="AP79">
            <v>0</v>
          </cell>
          <cell r="AQ79">
            <v>67713417.8689982</v>
          </cell>
        </row>
        <row r="80">
          <cell r="A80" t="str">
            <v>1_1_2006</v>
          </cell>
          <cell r="B80">
            <v>1</v>
          </cell>
          <cell r="C80">
            <v>1</v>
          </cell>
          <cell r="D80">
            <v>2006</v>
          </cell>
          <cell r="E80">
            <v>1255791480.0349901</v>
          </cell>
          <cell r="F80">
            <v>1349922859.79899</v>
          </cell>
          <cell r="G80">
            <v>1403484905.6459999</v>
          </cell>
          <cell r="H80">
            <v>53562045.847001597</v>
          </cell>
          <cell r="I80">
            <v>1404642295.25892</v>
          </cell>
          <cell r="J80">
            <v>64957974.939353198</v>
          </cell>
          <cell r="K80">
            <v>56602140.751241602</v>
          </cell>
          <cell r="L80">
            <v>1.71035209329393</v>
          </cell>
          <cell r="M80">
            <v>8517148.0034443196</v>
          </cell>
          <cell r="N80">
            <v>3.2975832644829901</v>
          </cell>
          <cell r="O80">
            <v>38720.907955399001</v>
          </cell>
          <cell r="P80">
            <v>10.862924871908699</v>
          </cell>
          <cell r="Q80">
            <v>39.952933680240903</v>
          </cell>
          <cell r="R80">
            <v>4.1527107833782599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48189579.464140303</v>
          </cell>
          <cell r="Z80">
            <v>-15238510.559787801</v>
          </cell>
          <cell r="AA80">
            <v>14983835.104056099</v>
          </cell>
          <cell r="AB80">
            <v>16831116.484945901</v>
          </cell>
          <cell r="AC80">
            <v>17165705.805728599</v>
          </cell>
          <cell r="AD80">
            <v>-555581.23394291196</v>
          </cell>
          <cell r="AE80">
            <v>-11805935.195625801</v>
          </cell>
          <cell r="AF80">
            <v>-1107277.3174369601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68462932.552077398</v>
          </cell>
          <cell r="AN80">
            <v>68693150.628947005</v>
          </cell>
          <cell r="AO80">
            <v>-15131104.7819454</v>
          </cell>
          <cell r="AP80">
            <v>0</v>
          </cell>
          <cell r="AQ80">
            <v>53562045.847001597</v>
          </cell>
        </row>
        <row r="81">
          <cell r="A81" t="str">
            <v>1_1_2007</v>
          </cell>
          <cell r="B81">
            <v>1</v>
          </cell>
          <cell r="C81">
            <v>1</v>
          </cell>
          <cell r="D81">
            <v>2007</v>
          </cell>
          <cell r="E81">
            <v>1255791480.0349901</v>
          </cell>
          <cell r="F81">
            <v>1403484905.6459999</v>
          </cell>
          <cell r="G81">
            <v>1433110623.8989999</v>
          </cell>
          <cell r="H81">
            <v>29625718.2529996</v>
          </cell>
          <cell r="I81">
            <v>1490378402.1398001</v>
          </cell>
          <cell r="J81">
            <v>85736106.880876496</v>
          </cell>
          <cell r="K81">
            <v>60383359.172468498</v>
          </cell>
          <cell r="L81">
            <v>1.68260516079908</v>
          </cell>
          <cell r="M81">
            <v>8586481.3662762102</v>
          </cell>
          <cell r="N81">
            <v>3.4594211252329901</v>
          </cell>
          <cell r="O81">
            <v>39253.657971064</v>
          </cell>
          <cell r="P81">
            <v>10.7011631866004</v>
          </cell>
          <cell r="Q81">
            <v>39.410968015195301</v>
          </cell>
          <cell r="R81">
            <v>4.36386867959986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71889429.157049105</v>
          </cell>
          <cell r="Z81">
            <v>19043884.188655298</v>
          </cell>
          <cell r="AA81">
            <v>4495227.5250951899</v>
          </cell>
          <cell r="AB81">
            <v>9158865.4709414206</v>
          </cell>
          <cell r="AC81">
            <v>-5114239.7212841501</v>
          </cell>
          <cell r="AD81">
            <v>-1473326.96263138</v>
          </cell>
          <cell r="AE81">
            <v>-4161429.5549697499</v>
          </cell>
          <cell r="AF81">
            <v>-897382.10914468998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92941027.993711099</v>
          </cell>
          <cell r="AN81">
            <v>92213695.059586197</v>
          </cell>
          <cell r="AO81">
            <v>-62587976.806586497</v>
          </cell>
          <cell r="AP81">
            <v>0</v>
          </cell>
          <cell r="AQ81">
            <v>29625718.2529996</v>
          </cell>
        </row>
        <row r="82">
          <cell r="A82" t="str">
            <v>1_1_2008</v>
          </cell>
          <cell r="B82">
            <v>1</v>
          </cell>
          <cell r="C82">
            <v>1</v>
          </cell>
          <cell r="D82">
            <v>2008</v>
          </cell>
          <cell r="E82">
            <v>1255791480.0349901</v>
          </cell>
          <cell r="F82">
            <v>1433110623.8989999</v>
          </cell>
          <cell r="G82">
            <v>1502065693.6010001</v>
          </cell>
          <cell r="H82">
            <v>68955069.702000201</v>
          </cell>
          <cell r="I82">
            <v>1525776872.87374</v>
          </cell>
          <cell r="J82">
            <v>35398470.733942002</v>
          </cell>
          <cell r="K82">
            <v>61751079.099644497</v>
          </cell>
          <cell r="L82">
            <v>1.74599995837957</v>
          </cell>
          <cell r="M82">
            <v>8636569.4233686309</v>
          </cell>
          <cell r="N82">
            <v>3.89422949174666</v>
          </cell>
          <cell r="O82">
            <v>39198.470784309597</v>
          </cell>
          <cell r="P82">
            <v>10.8447136660229</v>
          </cell>
          <cell r="Q82">
            <v>38.690948322100702</v>
          </cell>
          <cell r="R82">
            <v>4.4526846387887202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0.19681805166659599</v>
          </cell>
          <cell r="X82">
            <v>0</v>
          </cell>
          <cell r="Y82">
            <v>36005751.6737535</v>
          </cell>
          <cell r="Z82">
            <v>-25292909.643202901</v>
          </cell>
          <cell r="AA82">
            <v>3855314.5793896499</v>
          </cell>
          <cell r="AB82">
            <v>23709965.213764299</v>
          </cell>
          <cell r="AC82">
            <v>147259.71386055899</v>
          </cell>
          <cell r="AD82">
            <v>1418524.2904153501</v>
          </cell>
          <cell r="AE82">
            <v>-5724299.1859267903</v>
          </cell>
          <cell r="AF82">
            <v>-351918.10791778099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4194537.9957102798</v>
          </cell>
          <cell r="AL82">
            <v>0</v>
          </cell>
          <cell r="AM82">
            <v>37962226.529846303</v>
          </cell>
          <cell r="AN82">
            <v>37085893.811088599</v>
          </cell>
          <cell r="AO82">
            <v>31869175.890911501</v>
          </cell>
          <cell r="AP82">
            <v>0</v>
          </cell>
          <cell r="AQ82">
            <v>68955069.702000201</v>
          </cell>
        </row>
        <row r="83">
          <cell r="A83" t="str">
            <v>1_1_2009</v>
          </cell>
          <cell r="B83">
            <v>1</v>
          </cell>
          <cell r="C83">
            <v>1</v>
          </cell>
          <cell r="D83">
            <v>2009</v>
          </cell>
          <cell r="E83">
            <v>1267139821.0349901</v>
          </cell>
          <cell r="F83">
            <v>1502065693.6010001</v>
          </cell>
          <cell r="G83">
            <v>1482428254.573</v>
          </cell>
          <cell r="H83">
            <v>-30985780.028000001</v>
          </cell>
          <cell r="I83">
            <v>1458702218.21699</v>
          </cell>
          <cell r="J83">
            <v>-83254787.5518765</v>
          </cell>
          <cell r="K83">
            <v>61222121.340590701</v>
          </cell>
          <cell r="L83">
            <v>1.8521850525571999</v>
          </cell>
          <cell r="M83">
            <v>8587824.6215116605</v>
          </cell>
          <cell r="N83">
            <v>2.83259933365296</v>
          </cell>
          <cell r="O83">
            <v>37576.1463820231</v>
          </cell>
          <cell r="P83">
            <v>10.9605308445192</v>
          </cell>
          <cell r="Q83">
            <v>37.793547795335101</v>
          </cell>
          <cell r="R83">
            <v>4.6173196583825797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0.19505537455062899</v>
          </cell>
          <cell r="X83">
            <v>0</v>
          </cell>
          <cell r="Y83">
            <v>9512415.3778849505</v>
          </cell>
          <cell r="Z83">
            <v>-38340994.078114599</v>
          </cell>
          <cell r="AA83">
            <v>-650153.52063998405</v>
          </cell>
          <cell r="AB83">
            <v>-63536419.554159202</v>
          </cell>
          <cell r="AC83">
            <v>17842799.1766279</v>
          </cell>
          <cell r="AD83">
            <v>1492724.49634947</v>
          </cell>
          <cell r="AE83">
            <v>-7366744.8880599104</v>
          </cell>
          <cell r="AF83">
            <v>-747417.22130931099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-81793790.211420804</v>
          </cell>
          <cell r="AN83">
            <v>-81342380.088449895</v>
          </cell>
          <cell r="AO83">
            <v>50356600.060449898</v>
          </cell>
          <cell r="AP83">
            <v>11348341</v>
          </cell>
          <cell r="AQ83">
            <v>-19637439.028000001</v>
          </cell>
        </row>
        <row r="84">
          <cell r="A84" t="str">
            <v>1_1_2010</v>
          </cell>
          <cell r="B84">
            <v>1</v>
          </cell>
          <cell r="C84">
            <v>1</v>
          </cell>
          <cell r="D84">
            <v>2010</v>
          </cell>
          <cell r="E84">
            <v>1267139821.0349901</v>
          </cell>
          <cell r="F84">
            <v>1482428254.573</v>
          </cell>
          <cell r="G84">
            <v>1483866618.2620001</v>
          </cell>
          <cell r="H84">
            <v>1438363.68899975</v>
          </cell>
          <cell r="I84">
            <v>1517092795.4520299</v>
          </cell>
          <cell r="J84">
            <v>58390577.235040002</v>
          </cell>
          <cell r="K84">
            <v>61255778.114332303</v>
          </cell>
          <cell r="L84">
            <v>1.8636906415538299</v>
          </cell>
          <cell r="M84">
            <v>8598409.6543133408</v>
          </cell>
          <cell r="N84">
            <v>3.2899536004676402</v>
          </cell>
          <cell r="O84">
            <v>36698.509074768299</v>
          </cell>
          <cell r="P84">
            <v>11.236210070323899</v>
          </cell>
          <cell r="Q84">
            <v>37.284543414860103</v>
          </cell>
          <cell r="R84">
            <v>4.8556085211970803</v>
          </cell>
          <cell r="S84">
            <v>0</v>
          </cell>
          <cell r="T84">
            <v>0</v>
          </cell>
          <cell r="U84">
            <v>0.12950441302757101</v>
          </cell>
          <cell r="V84">
            <v>0</v>
          </cell>
          <cell r="W84">
            <v>0.20560047781246699</v>
          </cell>
          <cell r="X84">
            <v>0</v>
          </cell>
          <cell r="Y84">
            <v>55650652.353801198</v>
          </cell>
          <cell r="Z84">
            <v>-4128323.2111259</v>
          </cell>
          <cell r="AA84">
            <v>1923669.0754575001</v>
          </cell>
          <cell r="AB84">
            <v>29755501.895153299</v>
          </cell>
          <cell r="AC84">
            <v>10088901.870903799</v>
          </cell>
          <cell r="AD84">
            <v>2845828.5398702198</v>
          </cell>
          <cell r="AE84">
            <v>-4375340.5804455001</v>
          </cell>
          <cell r="AF84">
            <v>-1037993.74732007</v>
          </cell>
          <cell r="AG84">
            <v>0</v>
          </cell>
          <cell r="AH84">
            <v>0</v>
          </cell>
          <cell r="AI84">
            <v>-495297.28975317202</v>
          </cell>
          <cell r="AJ84">
            <v>0</v>
          </cell>
          <cell r="AK84">
            <v>438170.57740453701</v>
          </cell>
          <cell r="AL84">
            <v>0</v>
          </cell>
          <cell r="AM84">
            <v>90665769.4839461</v>
          </cell>
          <cell r="AN84">
            <v>90740310.7808052</v>
          </cell>
          <cell r="AO84">
            <v>-89301947.091805503</v>
          </cell>
          <cell r="AP84">
            <v>0</v>
          </cell>
          <cell r="AQ84">
            <v>1438363.6889997399</v>
          </cell>
        </row>
        <row r="85">
          <cell r="A85" t="str">
            <v>1_1_2011</v>
          </cell>
          <cell r="B85">
            <v>1</v>
          </cell>
          <cell r="C85">
            <v>1</v>
          </cell>
          <cell r="D85">
            <v>2011</v>
          </cell>
          <cell r="E85">
            <v>1267139821.0349901</v>
          </cell>
          <cell r="F85">
            <v>1483866618.2620001</v>
          </cell>
          <cell r="G85">
            <v>1545912857.1300001</v>
          </cell>
          <cell r="H85">
            <v>62046238.868000701</v>
          </cell>
          <cell r="I85">
            <v>1579457838.87974</v>
          </cell>
          <cell r="J85">
            <v>62365043.427706704</v>
          </cell>
          <cell r="K85">
            <v>61282146.056090899</v>
          </cell>
          <cell r="L85">
            <v>1.85454120711816</v>
          </cell>
          <cell r="M85">
            <v>8679784.8148080502</v>
          </cell>
          <cell r="N85">
            <v>4.0441811240878298</v>
          </cell>
          <cell r="O85">
            <v>36125.789510003699</v>
          </cell>
          <cell r="P85">
            <v>11.52961258425</v>
          </cell>
          <cell r="Q85">
            <v>36.586012432013497</v>
          </cell>
          <cell r="R85">
            <v>4.8188354988699702</v>
          </cell>
          <cell r="S85">
            <v>0</v>
          </cell>
          <cell r="T85">
            <v>0</v>
          </cell>
          <cell r="U85">
            <v>0.65694457124870498</v>
          </cell>
          <cell r="V85">
            <v>0</v>
          </cell>
          <cell r="W85">
            <v>0.38077279480168202</v>
          </cell>
          <cell r="X85">
            <v>0</v>
          </cell>
          <cell r="Y85">
            <v>179724.37939879199</v>
          </cell>
          <cell r="Z85">
            <v>4343964.5009378903</v>
          </cell>
          <cell r="AA85">
            <v>5880178.5891119698</v>
          </cell>
          <cell r="AB85">
            <v>42867651.393380903</v>
          </cell>
          <cell r="AC85">
            <v>6254705.4912038399</v>
          </cell>
          <cell r="AD85">
            <v>3023736.4861828801</v>
          </cell>
          <cell r="AE85">
            <v>-5816594.0129385898</v>
          </cell>
          <cell r="AF85">
            <v>184447.64629973299</v>
          </cell>
          <cell r="AG85">
            <v>0</v>
          </cell>
          <cell r="AH85">
            <v>0</v>
          </cell>
          <cell r="AI85">
            <v>-1983941.983521</v>
          </cell>
          <cell r="AJ85">
            <v>0</v>
          </cell>
          <cell r="AK85">
            <v>3502283.1915345402</v>
          </cell>
          <cell r="AL85">
            <v>0</v>
          </cell>
          <cell r="AM85">
            <v>58436155.681590997</v>
          </cell>
          <cell r="AN85">
            <v>59163577.493972503</v>
          </cell>
          <cell r="AO85">
            <v>2882661.3740282599</v>
          </cell>
          <cell r="AP85">
            <v>0</v>
          </cell>
          <cell r="AQ85">
            <v>62046238.868000701</v>
          </cell>
        </row>
        <row r="86">
          <cell r="A86" t="str">
            <v>1_1_2012</v>
          </cell>
          <cell r="B86">
            <v>1</v>
          </cell>
          <cell r="C86">
            <v>1</v>
          </cell>
          <cell r="D86">
            <v>2012</v>
          </cell>
          <cell r="E86">
            <v>1267139821.0349901</v>
          </cell>
          <cell r="F86">
            <v>1545912857.1300001</v>
          </cell>
          <cell r="G86">
            <v>1564035023.6099999</v>
          </cell>
          <cell r="H86">
            <v>18122166.479999501</v>
          </cell>
          <cell r="I86">
            <v>1596740519.39605</v>
          </cell>
          <cell r="J86">
            <v>17282680.516305901</v>
          </cell>
          <cell r="K86">
            <v>62726144.354737803</v>
          </cell>
          <cell r="L86">
            <v>1.9002067312497499</v>
          </cell>
          <cell r="M86">
            <v>8781393.8450598791</v>
          </cell>
          <cell r="N86">
            <v>4.0682969001623404</v>
          </cell>
          <cell r="O86">
            <v>35778.921973924698</v>
          </cell>
          <cell r="P86">
            <v>11.4208850818637</v>
          </cell>
          <cell r="Q86">
            <v>36.587438562194698</v>
          </cell>
          <cell r="R86">
            <v>4.8717741411834998</v>
          </cell>
          <cell r="S86">
            <v>0</v>
          </cell>
          <cell r="T86">
            <v>0</v>
          </cell>
          <cell r="U86">
            <v>1.5787699093719301</v>
          </cell>
          <cell r="V86">
            <v>0</v>
          </cell>
          <cell r="W86">
            <v>0.38684622637746002</v>
          </cell>
          <cell r="X86">
            <v>0</v>
          </cell>
          <cell r="Y86">
            <v>24694636.5432925</v>
          </cell>
          <cell r="Z86">
            <v>-13576689.4626582</v>
          </cell>
          <cell r="AA86">
            <v>7414166.8763082204</v>
          </cell>
          <cell r="AB86">
            <v>1321284.9246440099</v>
          </cell>
          <cell r="AC86">
            <v>3896940.7057780698</v>
          </cell>
          <cell r="AD86">
            <v>-1174198.67713894</v>
          </cell>
          <cell r="AE86">
            <v>19098.195617615998</v>
          </cell>
          <cell r="AF86">
            <v>-266611.587843741</v>
          </cell>
          <cell r="AG86">
            <v>0</v>
          </cell>
          <cell r="AH86">
            <v>0</v>
          </cell>
          <cell r="AI86">
            <v>-3586807.1825542799</v>
          </cell>
          <cell r="AJ86">
            <v>0</v>
          </cell>
          <cell r="AK86">
            <v>159194.462196874</v>
          </cell>
          <cell r="AL86">
            <v>0</v>
          </cell>
          <cell r="AM86">
            <v>18901014.797642101</v>
          </cell>
          <cell r="AN86">
            <v>18947624.4983855</v>
          </cell>
          <cell r="AO86">
            <v>-825458.01838602801</v>
          </cell>
          <cell r="AP86">
            <v>0</v>
          </cell>
          <cell r="AQ86">
            <v>18122166.479999501</v>
          </cell>
        </row>
        <row r="87">
          <cell r="A87" t="str">
            <v>1_1_2013</v>
          </cell>
          <cell r="B87">
            <v>1</v>
          </cell>
          <cell r="C87">
            <v>1</v>
          </cell>
          <cell r="D87">
            <v>2013</v>
          </cell>
          <cell r="E87">
            <v>1267139821.0349901</v>
          </cell>
          <cell r="F87">
            <v>1564035023.6099999</v>
          </cell>
          <cell r="G87">
            <v>1568704155.5999999</v>
          </cell>
          <cell r="H87">
            <v>4669131.9900003998</v>
          </cell>
          <cell r="I87">
            <v>1571196037.5486</v>
          </cell>
          <cell r="J87">
            <v>-25544481.8474476</v>
          </cell>
          <cell r="K87">
            <v>63972630.1673273</v>
          </cell>
          <cell r="L87">
            <v>2.0380070571831399</v>
          </cell>
          <cell r="M87">
            <v>8869893.0796464998</v>
          </cell>
          <cell r="N87">
            <v>3.9130888221316402</v>
          </cell>
          <cell r="O87">
            <v>36097.839899489001</v>
          </cell>
          <cell r="P87">
            <v>11.077376610356801</v>
          </cell>
          <cell r="Q87">
            <v>36.5729449648883</v>
          </cell>
          <cell r="R87">
            <v>4.8747918147063602</v>
          </cell>
          <cell r="S87">
            <v>0</v>
          </cell>
          <cell r="T87">
            <v>0</v>
          </cell>
          <cell r="U87">
            <v>2.5293321967374802</v>
          </cell>
          <cell r="V87">
            <v>0</v>
          </cell>
          <cell r="W87">
            <v>0.38684622637746002</v>
          </cell>
          <cell r="X87">
            <v>0</v>
          </cell>
          <cell r="Y87">
            <v>32225965.2743502</v>
          </cell>
          <cell r="Z87">
            <v>-41322200.347490601</v>
          </cell>
          <cell r="AA87">
            <v>6585760.1132380804</v>
          </cell>
          <cell r="AB87">
            <v>-8588563.9076602496</v>
          </cell>
          <cell r="AC87">
            <v>-4125434.7174193901</v>
          </cell>
          <cell r="AD87">
            <v>-3649312.8378558401</v>
          </cell>
          <cell r="AE87">
            <v>-136645.212329378</v>
          </cell>
          <cell r="AF87">
            <v>-16007.4760370649</v>
          </cell>
          <cell r="AG87">
            <v>0</v>
          </cell>
          <cell r="AH87">
            <v>0</v>
          </cell>
          <cell r="AI87">
            <v>-3762910.3086667201</v>
          </cell>
          <cell r="AJ87">
            <v>0</v>
          </cell>
          <cell r="AK87">
            <v>0</v>
          </cell>
          <cell r="AL87">
            <v>0</v>
          </cell>
          <cell r="AM87">
            <v>-22789349.419870999</v>
          </cell>
          <cell r="AN87">
            <v>-23331882.191628601</v>
          </cell>
          <cell r="AO87">
            <v>28001014.181628998</v>
          </cell>
          <cell r="AP87">
            <v>0</v>
          </cell>
          <cell r="AQ87">
            <v>4669131.99000041</v>
          </cell>
        </row>
        <row r="88">
          <cell r="A88" t="str">
            <v>1_1_2014</v>
          </cell>
          <cell r="B88">
            <v>1</v>
          </cell>
          <cell r="C88">
            <v>1</v>
          </cell>
          <cell r="D88">
            <v>2014</v>
          </cell>
          <cell r="E88">
            <v>1267139821.0349901</v>
          </cell>
          <cell r="F88">
            <v>1568704155.5999999</v>
          </cell>
          <cell r="G88">
            <v>1617627298.1099999</v>
          </cell>
          <cell r="H88">
            <v>48923142.510000199</v>
          </cell>
          <cell r="I88">
            <v>1626622876.6746399</v>
          </cell>
          <cell r="J88">
            <v>55426839.126039602</v>
          </cell>
          <cell r="K88">
            <v>65974318.954749003</v>
          </cell>
          <cell r="L88">
            <v>2.00832347079047</v>
          </cell>
          <cell r="M88">
            <v>8973479.9286815599</v>
          </cell>
          <cell r="N88">
            <v>3.7022465294872098</v>
          </cell>
          <cell r="O88">
            <v>36223.0446109447</v>
          </cell>
          <cell r="P88">
            <v>11.0513225190175</v>
          </cell>
          <cell r="Q88">
            <v>36.603891467717901</v>
          </cell>
          <cell r="R88">
            <v>5.1430573907574999</v>
          </cell>
          <cell r="S88">
            <v>0</v>
          </cell>
          <cell r="T88">
            <v>0</v>
          </cell>
          <cell r="U88">
            <v>3.5293321967374802</v>
          </cell>
          <cell r="V88">
            <v>0</v>
          </cell>
          <cell r="W88">
            <v>0.63093755182832101</v>
          </cell>
          <cell r="X88">
            <v>0</v>
          </cell>
          <cell r="Y88">
            <v>53256520.741796702</v>
          </cell>
          <cell r="Z88">
            <v>8497662.4210044295</v>
          </cell>
          <cell r="AA88">
            <v>7709240.5727353701</v>
          </cell>
          <cell r="AB88">
            <v>-12074284.104804801</v>
          </cell>
          <cell r="AC88">
            <v>-2160878.5897126701</v>
          </cell>
          <cell r="AD88">
            <v>-313129.25408553501</v>
          </cell>
          <cell r="AE88">
            <v>225117.15243169299</v>
          </cell>
          <cell r="AF88">
            <v>-1228482.1932955</v>
          </cell>
          <cell r="AG88">
            <v>0</v>
          </cell>
          <cell r="AH88">
            <v>0</v>
          </cell>
          <cell r="AI88">
            <v>-4025133.1858379701</v>
          </cell>
          <cell r="AJ88">
            <v>0</v>
          </cell>
          <cell r="AK88">
            <v>5960803.2892464101</v>
          </cell>
          <cell r="AL88">
            <v>0</v>
          </cell>
          <cell r="AM88">
            <v>55847436.849477999</v>
          </cell>
          <cell r="AN88">
            <v>56269175.040379502</v>
          </cell>
          <cell r="AO88">
            <v>-7346032.5303792302</v>
          </cell>
          <cell r="AP88">
            <v>0</v>
          </cell>
          <cell r="AQ88">
            <v>48923142.510000199</v>
          </cell>
        </row>
        <row r="89">
          <cell r="A89" t="str">
            <v>1_1_2015</v>
          </cell>
          <cell r="B89">
            <v>1</v>
          </cell>
          <cell r="C89">
            <v>1</v>
          </cell>
          <cell r="D89">
            <v>2015</v>
          </cell>
          <cell r="E89">
            <v>1267139821.0349901</v>
          </cell>
          <cell r="F89">
            <v>1617627298.1099999</v>
          </cell>
          <cell r="G89">
            <v>1604913377.72</v>
          </cell>
          <cell r="H89">
            <v>-12713920.390001001</v>
          </cell>
          <cell r="I89">
            <v>1550494216.18821</v>
          </cell>
          <cell r="J89">
            <v>-76128660.486431703</v>
          </cell>
          <cell r="K89">
            <v>66713506.911829397</v>
          </cell>
          <cell r="L89">
            <v>2.1543185795144</v>
          </cell>
          <cell r="M89">
            <v>9066661.9961291905</v>
          </cell>
          <cell r="N89">
            <v>2.7059526020827498</v>
          </cell>
          <cell r="O89">
            <v>37234.852073061003</v>
          </cell>
          <cell r="P89">
            <v>11.078544602246801</v>
          </cell>
          <cell r="Q89">
            <v>36.686556982251702</v>
          </cell>
          <cell r="R89">
            <v>5.1475024182947999</v>
          </cell>
          <cell r="S89">
            <v>0</v>
          </cell>
          <cell r="T89">
            <v>0</v>
          </cell>
          <cell r="U89">
            <v>4.5293321967374798</v>
          </cell>
          <cell r="V89">
            <v>0</v>
          </cell>
          <cell r="W89">
            <v>0.953800418331748</v>
          </cell>
          <cell r="X89">
            <v>0</v>
          </cell>
          <cell r="Y89">
            <v>29042391.630425401</v>
          </cell>
          <cell r="Z89">
            <v>-39477233.956956699</v>
          </cell>
          <cell r="AA89">
            <v>7276429.5526766097</v>
          </cell>
          <cell r="AB89">
            <v>-65915611.181914203</v>
          </cell>
          <cell r="AC89">
            <v>-12685031.803300399</v>
          </cell>
          <cell r="AD89">
            <v>134420.99092553</v>
          </cell>
          <cell r="AE89">
            <v>637845.070164804</v>
          </cell>
          <cell r="AF89">
            <v>-59708.075597150899</v>
          </cell>
          <cell r="AG89">
            <v>0</v>
          </cell>
          <cell r="AH89">
            <v>0</v>
          </cell>
          <cell r="AI89">
            <v>-4150664.9272880801</v>
          </cell>
          <cell r="AJ89">
            <v>0</v>
          </cell>
          <cell r="AK89">
            <v>7591562.8734701201</v>
          </cell>
          <cell r="AL89">
            <v>0</v>
          </cell>
          <cell r="AM89">
            <v>-77605599.827393994</v>
          </cell>
          <cell r="AN89">
            <v>-77371610.829399601</v>
          </cell>
          <cell r="AO89">
            <v>64657690.439398497</v>
          </cell>
          <cell r="AP89">
            <v>0</v>
          </cell>
          <cell r="AQ89">
            <v>-12713920.390001001</v>
          </cell>
        </row>
        <row r="90">
          <cell r="A90" t="str">
            <v>1_1_2016</v>
          </cell>
          <cell r="B90">
            <v>1</v>
          </cell>
          <cell r="C90">
            <v>1</v>
          </cell>
          <cell r="D90">
            <v>2016</v>
          </cell>
          <cell r="E90">
            <v>1267139821.0349901</v>
          </cell>
          <cell r="F90">
            <v>1604913377.72</v>
          </cell>
          <cell r="G90">
            <v>1576037837.6749899</v>
          </cell>
          <cell r="H90">
            <v>-28875540.045000199</v>
          </cell>
          <cell r="I90">
            <v>1531948775.8738501</v>
          </cell>
          <cell r="J90">
            <v>-18545440.314353202</v>
          </cell>
          <cell r="K90">
            <v>67150752.048649505</v>
          </cell>
          <cell r="L90">
            <v>2.2094116600786302</v>
          </cell>
          <cell r="M90">
            <v>9138389.8585524391</v>
          </cell>
          <cell r="N90">
            <v>2.4113324838839398</v>
          </cell>
          <cell r="O90">
            <v>38056.866717850098</v>
          </cell>
          <cell r="P90">
            <v>11.001069020284399</v>
          </cell>
          <cell r="Q90">
            <v>36.795285681993803</v>
          </cell>
          <cell r="R90">
            <v>5.6798337602217197</v>
          </cell>
          <cell r="S90">
            <v>0</v>
          </cell>
          <cell r="T90">
            <v>0</v>
          </cell>
          <cell r="U90">
            <v>5.5293321967374798</v>
          </cell>
          <cell r="V90">
            <v>0</v>
          </cell>
          <cell r="W90">
            <v>0.99456423306042496</v>
          </cell>
          <cell r="X90">
            <v>0</v>
          </cell>
          <cell r="Y90">
            <v>29788864.987107601</v>
          </cell>
          <cell r="Z90">
            <v>-14407068.3157646</v>
          </cell>
          <cell r="AA90">
            <v>5575496.8646653397</v>
          </cell>
          <cell r="AB90">
            <v>-23489543.119221199</v>
          </cell>
          <cell r="AC90">
            <v>-9405028.97925785</v>
          </cell>
          <cell r="AD90">
            <v>-1029447.70775821</v>
          </cell>
          <cell r="AE90">
            <v>931578.65781615605</v>
          </cell>
          <cell r="AF90">
            <v>-2541960.40451574</v>
          </cell>
          <cell r="AG90">
            <v>0</v>
          </cell>
          <cell r="AH90">
            <v>0</v>
          </cell>
          <cell r="AI90">
            <v>-4118042.3179189302</v>
          </cell>
          <cell r="AJ90">
            <v>0</v>
          </cell>
          <cell r="AK90">
            <v>1046737.10215141</v>
          </cell>
          <cell r="AL90">
            <v>0</v>
          </cell>
          <cell r="AM90">
            <v>-17648413.232696</v>
          </cell>
          <cell r="AN90">
            <v>-18299748.851064201</v>
          </cell>
          <cell r="AO90">
            <v>-10575791.193936</v>
          </cell>
          <cell r="AP90">
            <v>0</v>
          </cell>
          <cell r="AQ90">
            <v>-28875540.045000199</v>
          </cell>
        </row>
        <row r="91">
          <cell r="A91" t="str">
            <v>1_1_2017</v>
          </cell>
          <cell r="B91">
            <v>1</v>
          </cell>
          <cell r="C91">
            <v>1</v>
          </cell>
          <cell r="D91">
            <v>2017</v>
          </cell>
          <cell r="E91">
            <v>1267139821.0349901</v>
          </cell>
          <cell r="F91">
            <v>1576037837.6749899</v>
          </cell>
          <cell r="G91">
            <v>1542783629.06199</v>
          </cell>
          <cell r="H91">
            <v>-33254208.613000002</v>
          </cell>
          <cell r="I91">
            <v>1585237690.2270999</v>
          </cell>
          <cell r="J91">
            <v>53288914.353249103</v>
          </cell>
          <cell r="K91">
            <v>69027444.305724904</v>
          </cell>
          <cell r="L91">
            <v>2.1675808263876499</v>
          </cell>
          <cell r="M91">
            <v>9231367.0085865706</v>
          </cell>
          <cell r="N91">
            <v>2.6243356453473998</v>
          </cell>
          <cell r="O91">
            <v>38871.041100964299</v>
          </cell>
          <cell r="P91">
            <v>10.803411422286301</v>
          </cell>
          <cell r="Q91">
            <v>36.824691183720397</v>
          </cell>
          <cell r="R91">
            <v>5.82970083152233</v>
          </cell>
          <cell r="S91">
            <v>0</v>
          </cell>
          <cell r="T91">
            <v>0</v>
          </cell>
          <cell r="U91">
            <v>6.5293321967374798</v>
          </cell>
          <cell r="V91">
            <v>0</v>
          </cell>
          <cell r="W91">
            <v>0.99456423306042496</v>
          </cell>
          <cell r="X91">
            <v>0</v>
          </cell>
          <cell r="Y91">
            <v>35847017.1131455</v>
          </cell>
          <cell r="Z91">
            <v>9143291.0061281994</v>
          </cell>
          <cell r="AA91">
            <v>6750659.63362695</v>
          </cell>
          <cell r="AB91">
            <v>16963228.851033501</v>
          </cell>
          <cell r="AC91">
            <v>-8659169.5593460109</v>
          </cell>
          <cell r="AD91">
            <v>-1865605.7956801599</v>
          </cell>
          <cell r="AE91">
            <v>294477.62435175001</v>
          </cell>
          <cell r="AF91">
            <v>-692576.53275847505</v>
          </cell>
          <cell r="AG91">
            <v>0</v>
          </cell>
          <cell r="AH91">
            <v>0</v>
          </cell>
          <cell r="AI91">
            <v>-4043950.6582014398</v>
          </cell>
          <cell r="AJ91">
            <v>0</v>
          </cell>
          <cell r="AK91">
            <v>0</v>
          </cell>
          <cell r="AL91">
            <v>0</v>
          </cell>
          <cell r="AM91">
            <v>53737371.6822998</v>
          </cell>
          <cell r="AN91">
            <v>54180107.066999197</v>
          </cell>
          <cell r="AO91">
            <v>-87434315.679999307</v>
          </cell>
          <cell r="AP91">
            <v>0</v>
          </cell>
          <cell r="AQ91">
            <v>-33254208.613000002</v>
          </cell>
        </row>
        <row r="92">
          <cell r="A92" t="str">
            <v>1_1_2018</v>
          </cell>
          <cell r="B92">
            <v>1</v>
          </cell>
          <cell r="C92">
            <v>1</v>
          </cell>
          <cell r="D92">
            <v>2018</v>
          </cell>
          <cell r="E92">
            <v>1267139821.0349901</v>
          </cell>
          <cell r="F92">
            <v>1542783629.06199</v>
          </cell>
          <cell r="G92">
            <v>1516828098.0079999</v>
          </cell>
          <cell r="H92">
            <v>-25955531.053999599</v>
          </cell>
          <cell r="I92">
            <v>1560586460.1087601</v>
          </cell>
          <cell r="J92">
            <v>-24651230.118336901</v>
          </cell>
          <cell r="K92">
            <v>69714209.321614698</v>
          </cell>
          <cell r="L92">
            <v>2.1532325278653901</v>
          </cell>
          <cell r="M92">
            <v>9315861.7176705897</v>
          </cell>
          <cell r="N92">
            <v>2.8895691221026301</v>
          </cell>
          <cell r="O92">
            <v>39786.389473927899</v>
          </cell>
          <cell r="P92">
            <v>10.6410515802635</v>
          </cell>
          <cell r="Q92">
            <v>36.8732097197013</v>
          </cell>
          <cell r="R92">
            <v>6.0751839704795199</v>
          </cell>
          <cell r="S92">
            <v>0</v>
          </cell>
          <cell r="T92">
            <v>0</v>
          </cell>
          <cell r="U92">
            <v>7.5293321967374798</v>
          </cell>
          <cell r="V92">
            <v>0</v>
          </cell>
          <cell r="W92">
            <v>1</v>
          </cell>
          <cell r="X92">
            <v>0.67648857766527604</v>
          </cell>
          <cell r="Y92">
            <v>11527481.2061892</v>
          </cell>
          <cell r="Z92">
            <v>2106250.36958005</v>
          </cell>
          <cell r="AA92">
            <v>6062590.2674776996</v>
          </cell>
          <cell r="AB92">
            <v>19754540.7143424</v>
          </cell>
          <cell r="AC92">
            <v>-9459923.7395220697</v>
          </cell>
          <cell r="AD92">
            <v>-1576432.58349829</v>
          </cell>
          <cell r="AE92">
            <v>422996.971969529</v>
          </cell>
          <cell r="AF92">
            <v>-1122340.59840996</v>
          </cell>
          <cell r="AG92">
            <v>0</v>
          </cell>
          <cell r="AH92">
            <v>0</v>
          </cell>
          <cell r="AI92">
            <v>-3958623.7862229799</v>
          </cell>
          <cell r="AJ92">
            <v>0</v>
          </cell>
          <cell r="AK92">
            <v>127739.47119916001</v>
          </cell>
          <cell r="AL92">
            <v>-49504144.450547002</v>
          </cell>
          <cell r="AM92">
            <v>-25619866.157442201</v>
          </cell>
          <cell r="AN92">
            <v>-26245996.763803001</v>
          </cell>
          <cell r="AO92">
            <v>290465.70980346302</v>
          </cell>
          <cell r="AP92">
            <v>0</v>
          </cell>
          <cell r="AQ92">
            <v>-25955531.053999599</v>
          </cell>
        </row>
        <row r="93">
          <cell r="A93" t="str">
            <v>1_2_2002</v>
          </cell>
          <cell r="B93">
            <v>1</v>
          </cell>
          <cell r="C93">
            <v>2</v>
          </cell>
          <cell r="D93">
            <v>2002</v>
          </cell>
          <cell r="E93">
            <v>47275493.026399903</v>
          </cell>
          <cell r="F93">
            <v>0</v>
          </cell>
          <cell r="G93">
            <v>47275493.026399903</v>
          </cell>
          <cell r="H93">
            <v>0</v>
          </cell>
          <cell r="I93">
            <v>40867091.384708799</v>
          </cell>
          <cell r="J93">
            <v>0</v>
          </cell>
          <cell r="K93">
            <v>2977747.89348927</v>
          </cell>
          <cell r="L93">
            <v>1.2296739838616899</v>
          </cell>
          <cell r="M93">
            <v>2747170.4190500998</v>
          </cell>
          <cell r="N93">
            <v>1.9582856739004399</v>
          </cell>
          <cell r="O93">
            <v>35510.509281670697</v>
          </cell>
          <cell r="P93">
            <v>7.6746089750929096</v>
          </cell>
          <cell r="Q93">
            <v>37.251863925021098</v>
          </cell>
          <cell r="R93">
            <v>3.5499778434902902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0.31608954330006001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47275493.026399903</v>
          </cell>
          <cell r="AQ93">
            <v>47275493.026399903</v>
          </cell>
        </row>
        <row r="94">
          <cell r="A94" t="str">
            <v>1_2_2003</v>
          </cell>
          <cell r="B94">
            <v>1</v>
          </cell>
          <cell r="C94">
            <v>2</v>
          </cell>
          <cell r="D94">
            <v>2003</v>
          </cell>
          <cell r="E94">
            <v>47275493.026399903</v>
          </cell>
          <cell r="F94">
            <v>47275493.026399903</v>
          </cell>
          <cell r="G94">
            <v>47686990.312599897</v>
          </cell>
          <cell r="H94">
            <v>411497.28619997902</v>
          </cell>
          <cell r="I94">
            <v>45131617.865001798</v>
          </cell>
          <cell r="J94">
            <v>4264526.4802930001</v>
          </cell>
          <cell r="K94">
            <v>3085729.0769604798</v>
          </cell>
          <cell r="L94">
            <v>0.96132516220931397</v>
          </cell>
          <cell r="M94">
            <v>2791745.8783973702</v>
          </cell>
          <cell r="N94">
            <v>2.2256135150778298</v>
          </cell>
          <cell r="O94">
            <v>34822.732198878803</v>
          </cell>
          <cell r="P94">
            <v>7.7178328399487004</v>
          </cell>
          <cell r="Q94">
            <v>35.9190364504257</v>
          </cell>
          <cell r="R94">
            <v>3.5499778434902902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0.31608954330006001</v>
          </cell>
          <cell r="X94">
            <v>0</v>
          </cell>
          <cell r="Y94">
            <v>1119594.9144997101</v>
          </cell>
          <cell r="Z94">
            <v>3487060.17582775</v>
          </cell>
          <cell r="AA94">
            <v>326866.23974152299</v>
          </cell>
          <cell r="AB94">
            <v>721530.107474374</v>
          </cell>
          <cell r="AC94">
            <v>249848.02698745599</v>
          </cell>
          <cell r="AD94">
            <v>14147.3780184549</v>
          </cell>
          <cell r="AE94">
            <v>-341489.416613248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5577557.4259360302</v>
          </cell>
          <cell r="AN94">
            <v>5847306.4169351896</v>
          </cell>
          <cell r="AO94">
            <v>-5435809.1307352101</v>
          </cell>
          <cell r="AP94">
            <v>0</v>
          </cell>
          <cell r="AQ94">
            <v>411497.28619997902</v>
          </cell>
        </row>
        <row r="95">
          <cell r="A95" t="str">
            <v>1_2_2004</v>
          </cell>
          <cell r="B95">
            <v>1</v>
          </cell>
          <cell r="C95">
            <v>2</v>
          </cell>
          <cell r="D95">
            <v>2004</v>
          </cell>
          <cell r="E95">
            <v>47275493.026399903</v>
          </cell>
          <cell r="F95">
            <v>47686990.312599897</v>
          </cell>
          <cell r="G95">
            <v>52362988.175399899</v>
          </cell>
          <cell r="H95">
            <v>4675997.8628000198</v>
          </cell>
          <cell r="I95">
            <v>48056582.375103399</v>
          </cell>
          <cell r="J95">
            <v>2924964.51010154</v>
          </cell>
          <cell r="K95">
            <v>2981166.3867089599</v>
          </cell>
          <cell r="L95">
            <v>0.89172370577078297</v>
          </cell>
          <cell r="M95">
            <v>2837606.9663203899</v>
          </cell>
          <cell r="N95">
            <v>2.5321155781568701</v>
          </cell>
          <cell r="O95">
            <v>33845.840910640603</v>
          </cell>
          <cell r="P95">
            <v>7.7647477147870401</v>
          </cell>
          <cell r="Q95">
            <v>34.673548613750498</v>
          </cell>
          <cell r="R95">
            <v>3.5499778434902902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0.31608954330006001</v>
          </cell>
          <cell r="X95">
            <v>0</v>
          </cell>
          <cell r="Y95">
            <v>1296402.89184226</v>
          </cell>
          <cell r="Z95">
            <v>1014058.15621644</v>
          </cell>
          <cell r="AA95">
            <v>354366.85244992399</v>
          </cell>
          <cell r="AB95">
            <v>769522.02840662305</v>
          </cell>
          <cell r="AC95">
            <v>361796.418997498</v>
          </cell>
          <cell r="AD95">
            <v>15066.895241284899</v>
          </cell>
          <cell r="AE95">
            <v>-334323.21494818898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3476890.0282058399</v>
          </cell>
          <cell r="AN95">
            <v>3541178.43841145</v>
          </cell>
          <cell r="AO95">
            <v>1134819.42438857</v>
          </cell>
          <cell r="AP95">
            <v>0</v>
          </cell>
          <cell r="AQ95">
            <v>4675997.8628000198</v>
          </cell>
        </row>
        <row r="96">
          <cell r="A96" t="str">
            <v>1_2_2005</v>
          </cell>
          <cell r="B96">
            <v>1</v>
          </cell>
          <cell r="C96">
            <v>2</v>
          </cell>
          <cell r="D96">
            <v>2005</v>
          </cell>
          <cell r="E96">
            <v>47275493.026399903</v>
          </cell>
          <cell r="F96">
            <v>52362988.175399899</v>
          </cell>
          <cell r="G96">
            <v>58795934.232999898</v>
          </cell>
          <cell r="H96">
            <v>6432946.0575999701</v>
          </cell>
          <cell r="I96">
            <v>52778619.616093397</v>
          </cell>
          <cell r="J96">
            <v>4722037.2409900203</v>
          </cell>
          <cell r="K96">
            <v>3130410.6072175698</v>
          </cell>
          <cell r="L96">
            <v>0.84791846093886902</v>
          </cell>
          <cell r="M96">
            <v>2890850.1411843598</v>
          </cell>
          <cell r="N96">
            <v>2.9879994119830902</v>
          </cell>
          <cell r="O96">
            <v>32987.582756732103</v>
          </cell>
          <cell r="P96">
            <v>7.7866725559360299</v>
          </cell>
          <cell r="Q96">
            <v>33.5643506416043</v>
          </cell>
          <cell r="R96">
            <v>3.5499778434902902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0.31608954330006001</v>
          </cell>
          <cell r="X96">
            <v>0</v>
          </cell>
          <cell r="Y96">
            <v>2639215.2656479501</v>
          </cell>
          <cell r="Z96">
            <v>640605.91560907499</v>
          </cell>
          <cell r="AA96">
            <v>446345.34203701402</v>
          </cell>
          <cell r="AB96">
            <v>1124739.67226687</v>
          </cell>
          <cell r="AC96">
            <v>343808.79504275002</v>
          </cell>
          <cell r="AD96">
            <v>7627.2143268812197</v>
          </cell>
          <cell r="AE96">
            <v>-343051.47502742801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4859290.7299031103</v>
          </cell>
          <cell r="AN96">
            <v>4983247.4941387903</v>
          </cell>
          <cell r="AO96">
            <v>1449698.5634611801</v>
          </cell>
          <cell r="AP96">
            <v>0</v>
          </cell>
          <cell r="AQ96">
            <v>6432946.0575999701</v>
          </cell>
        </row>
        <row r="97">
          <cell r="A97" t="str">
            <v>1_2_2006</v>
          </cell>
          <cell r="B97">
            <v>1</v>
          </cell>
          <cell r="C97">
            <v>2</v>
          </cell>
          <cell r="D97">
            <v>2006</v>
          </cell>
          <cell r="E97">
            <v>47971939.384399898</v>
          </cell>
          <cell r="F97">
            <v>58795934.232999898</v>
          </cell>
          <cell r="G97">
            <v>65262246.075999901</v>
          </cell>
          <cell r="H97">
            <v>5769865.4849999901</v>
          </cell>
          <cell r="I97">
            <v>57773733.873395197</v>
          </cell>
          <cell r="J97">
            <v>4657935.03561466</v>
          </cell>
          <cell r="K97">
            <v>3345818.5682414901</v>
          </cell>
          <cell r="L97">
            <v>0.94282458921071399</v>
          </cell>
          <cell r="M97">
            <v>2929761.3381049801</v>
          </cell>
          <cell r="N97">
            <v>3.2770056591921102</v>
          </cell>
          <cell r="O97">
            <v>31631.556776921701</v>
          </cell>
          <cell r="P97">
            <v>7.8635420796925901</v>
          </cell>
          <cell r="Q97">
            <v>32.592196800520902</v>
          </cell>
          <cell r="R97">
            <v>3.5973446350163298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0.311500622900799</v>
          </cell>
          <cell r="X97">
            <v>0</v>
          </cell>
          <cell r="Y97">
            <v>3329487.98008344</v>
          </cell>
          <cell r="Z97">
            <v>416453.07014385302</v>
          </cell>
          <cell r="AA97">
            <v>580951.22946047504</v>
          </cell>
          <cell r="AB97">
            <v>719517.92119624501</v>
          </cell>
          <cell r="AC97">
            <v>649889.31405170099</v>
          </cell>
          <cell r="AD97">
            <v>44676.079188542601</v>
          </cell>
          <cell r="AE97">
            <v>-414872.005734406</v>
          </cell>
          <cell r="AF97">
            <v>-12089.068889677201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5314014.5195001801</v>
          </cell>
          <cell r="AN97">
            <v>5426761.2908644099</v>
          </cell>
          <cell r="AO97">
            <v>343104.19413558301</v>
          </cell>
          <cell r="AP97">
            <v>696446.35799999896</v>
          </cell>
          <cell r="AQ97">
            <v>6466311.8429999901</v>
          </cell>
        </row>
        <row r="98">
          <cell r="A98" t="str">
            <v>1_2_2007</v>
          </cell>
          <cell r="B98">
            <v>1</v>
          </cell>
          <cell r="C98">
            <v>2</v>
          </cell>
          <cell r="D98">
            <v>2007</v>
          </cell>
          <cell r="E98">
            <v>49789915.873399898</v>
          </cell>
          <cell r="F98">
            <v>65262246.075999901</v>
          </cell>
          <cell r="G98">
            <v>71464040.983899996</v>
          </cell>
          <cell r="H98">
            <v>4383818.4189001098</v>
          </cell>
          <cell r="I98">
            <v>63840265.0629071</v>
          </cell>
          <cell r="J98">
            <v>3788394.17547984</v>
          </cell>
          <cell r="K98">
            <v>3703781.05629498</v>
          </cell>
          <cell r="L98">
            <v>1.0493048244126899</v>
          </cell>
          <cell r="M98">
            <v>2890271.4552398198</v>
          </cell>
          <cell r="N98">
            <v>3.4748369338642102</v>
          </cell>
          <cell r="O98">
            <v>31980.5411952588</v>
          </cell>
          <cell r="P98">
            <v>7.6474177917704704</v>
          </cell>
          <cell r="Q98">
            <v>32.336239891902601</v>
          </cell>
          <cell r="R98">
            <v>3.9513259985298599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0.300126817606923</v>
          </cell>
          <cell r="X98">
            <v>0</v>
          </cell>
          <cell r="Y98">
            <v>5077457.2930250503</v>
          </cell>
          <cell r="Z98">
            <v>-1197828.3008735401</v>
          </cell>
          <cell r="AA98">
            <v>186029.894949621</v>
          </cell>
          <cell r="AB98">
            <v>541357.49361361295</v>
          </cell>
          <cell r="AC98">
            <v>-298078.77292213403</v>
          </cell>
          <cell r="AD98">
            <v>-120844.06614733</v>
          </cell>
          <cell r="AE98">
            <v>-186767.412302882</v>
          </cell>
          <cell r="AF98">
            <v>-69682.312187954303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3931643.8171544401</v>
          </cell>
          <cell r="AN98">
            <v>4750295.3093839996</v>
          </cell>
          <cell r="AO98">
            <v>-366476.89048388798</v>
          </cell>
          <cell r="AP98">
            <v>1817976.4890000001</v>
          </cell>
          <cell r="AQ98">
            <v>6201794.9079001099</v>
          </cell>
        </row>
        <row r="99">
          <cell r="A99" t="str">
            <v>1_2_2008</v>
          </cell>
          <cell r="B99">
            <v>1</v>
          </cell>
          <cell r="C99">
            <v>2</v>
          </cell>
          <cell r="D99">
            <v>2008</v>
          </cell>
          <cell r="E99">
            <v>49789915.873399898</v>
          </cell>
          <cell r="F99">
            <v>71464040.983899996</v>
          </cell>
          <cell r="G99">
            <v>85122306.734200001</v>
          </cell>
          <cell r="H99">
            <v>13658265.750299901</v>
          </cell>
          <cell r="I99">
            <v>77308639.793159097</v>
          </cell>
          <cell r="J99">
            <v>13468374.730251901</v>
          </cell>
          <cell r="K99">
            <v>4160242.1765519902</v>
          </cell>
          <cell r="L99">
            <v>1.05933339902747</v>
          </cell>
          <cell r="M99">
            <v>2891626.9356864099</v>
          </cell>
          <cell r="N99">
            <v>3.8672040258056999</v>
          </cell>
          <cell r="O99">
            <v>31731.406985687201</v>
          </cell>
          <cell r="P99">
            <v>7.8069598180196804</v>
          </cell>
          <cell r="Q99">
            <v>31.855037744535299</v>
          </cell>
          <cell r="R99">
            <v>3.9188750527494198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0.300126817606923</v>
          </cell>
          <cell r="X99">
            <v>0</v>
          </cell>
          <cell r="Y99">
            <v>12351796.922275299</v>
          </cell>
          <cell r="Z99">
            <v>-591297.17940669099</v>
          </cell>
          <cell r="AA99">
            <v>57583.457067310403</v>
          </cell>
          <cell r="AB99">
            <v>1060075.6403361601</v>
          </cell>
          <cell r="AC99">
            <v>177957.050846297</v>
          </cell>
          <cell r="AD99">
            <v>74240.486922591503</v>
          </cell>
          <cell r="AE99">
            <v>-177785.312255</v>
          </cell>
          <cell r="AF99">
            <v>4256.0772806962696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12956827.143066701</v>
          </cell>
          <cell r="AN99">
            <v>12445411.192741601</v>
          </cell>
          <cell r="AO99">
            <v>1212854.5575583</v>
          </cell>
          <cell r="AP99">
            <v>0</v>
          </cell>
          <cell r="AQ99">
            <v>13658265.750299901</v>
          </cell>
        </row>
        <row r="100">
          <cell r="A100" t="str">
            <v>1_2_2009</v>
          </cell>
          <cell r="B100">
            <v>1</v>
          </cell>
          <cell r="C100">
            <v>2</v>
          </cell>
          <cell r="D100">
            <v>2009</v>
          </cell>
          <cell r="E100">
            <v>51141002.873399898</v>
          </cell>
          <cell r="F100">
            <v>85122306.734200001</v>
          </cell>
          <cell r="G100">
            <v>76318423.597000003</v>
          </cell>
          <cell r="H100">
            <v>-10154970.137199899</v>
          </cell>
          <cell r="I100">
            <v>72149543.559987694</v>
          </cell>
          <cell r="J100">
            <v>-5889089.3484833604</v>
          </cell>
          <cell r="K100">
            <v>4039779.5208572</v>
          </cell>
          <cell r="L100">
            <v>1.28038310924412</v>
          </cell>
          <cell r="M100">
            <v>2824785.4675455699</v>
          </cell>
          <cell r="N100">
            <v>2.80416219001828</v>
          </cell>
          <cell r="O100">
            <v>30579.755649902101</v>
          </cell>
          <cell r="P100">
            <v>8.0704076727234995</v>
          </cell>
          <cell r="Q100">
            <v>31.3589602633058</v>
          </cell>
          <cell r="R100">
            <v>3.9496369464444001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0.29219780920198601</v>
          </cell>
          <cell r="X100">
            <v>0</v>
          </cell>
          <cell r="Y100">
            <v>439948.71314001997</v>
          </cell>
          <cell r="Z100">
            <v>-4447626.9031285001</v>
          </cell>
          <cell r="AA100">
            <v>-185160.30599317499</v>
          </cell>
          <cell r="AB100">
            <v>-3608873.5108773699</v>
          </cell>
          <cell r="AC100">
            <v>891196.60000185797</v>
          </cell>
          <cell r="AD100">
            <v>193368.31913168199</v>
          </cell>
          <cell r="AE100">
            <v>-243797.30466490201</v>
          </cell>
          <cell r="AF100">
            <v>-19147.9865878214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-6980092.3789782096</v>
          </cell>
          <cell r="AN100">
            <v>-6749136.0710807499</v>
          </cell>
          <cell r="AO100">
            <v>-3405834.0661192299</v>
          </cell>
          <cell r="AP100">
            <v>1351087</v>
          </cell>
          <cell r="AQ100">
            <v>-8803883.1371999905</v>
          </cell>
        </row>
        <row r="101">
          <cell r="A101" t="str">
            <v>1_2_2010</v>
          </cell>
          <cell r="B101">
            <v>1</v>
          </cell>
          <cell r="C101">
            <v>2</v>
          </cell>
          <cell r="D101">
            <v>2010</v>
          </cell>
          <cell r="E101">
            <v>51141002.873399898</v>
          </cell>
          <cell r="F101">
            <v>76318423.597000003</v>
          </cell>
          <cell r="G101">
            <v>72283794.898399904</v>
          </cell>
          <cell r="H101">
            <v>-4034628.6986000398</v>
          </cell>
          <cell r="I101">
            <v>73588067.123775393</v>
          </cell>
          <cell r="J101">
            <v>1438523.5637876501</v>
          </cell>
          <cell r="K101">
            <v>3877239.6609135098</v>
          </cell>
          <cell r="L101">
            <v>1.28297772492894</v>
          </cell>
          <cell r="M101">
            <v>2833160.1823960799</v>
          </cell>
          <cell r="N101">
            <v>3.2742902943496199</v>
          </cell>
          <cell r="O101">
            <v>29878.0320390866</v>
          </cell>
          <cell r="P101">
            <v>8.0343764180762705</v>
          </cell>
          <cell r="Q101">
            <v>31.1001248426229</v>
          </cell>
          <cell r="R101">
            <v>3.9259890825705899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0.29219780920198601</v>
          </cell>
          <cell r="X101">
            <v>0</v>
          </cell>
          <cell r="Y101">
            <v>801159.01234396303</v>
          </cell>
          <cell r="Z101">
            <v>-430301.17556844698</v>
          </cell>
          <cell r="AA101">
            <v>98807.068062036895</v>
          </cell>
          <cell r="AB101">
            <v>1574248.4079128699</v>
          </cell>
          <cell r="AC101">
            <v>547996.162286832</v>
          </cell>
          <cell r="AD101">
            <v>20432.547756095599</v>
          </cell>
          <cell r="AE101">
            <v>-130065.897097475</v>
          </cell>
          <cell r="AF101">
            <v>17650.976764970699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2499927.1024608398</v>
          </cell>
          <cell r="AN101">
            <v>2750663.3881413601</v>
          </cell>
          <cell r="AO101">
            <v>-6785292.0867414</v>
          </cell>
          <cell r="AP101">
            <v>0</v>
          </cell>
          <cell r="AQ101">
            <v>-4034628.6986000398</v>
          </cell>
        </row>
        <row r="102">
          <cell r="A102" t="str">
            <v>1_2_2011</v>
          </cell>
          <cell r="B102">
            <v>1</v>
          </cell>
          <cell r="C102">
            <v>2</v>
          </cell>
          <cell r="D102">
            <v>2011</v>
          </cell>
          <cell r="E102">
            <v>51780033.873399898</v>
          </cell>
          <cell r="F102">
            <v>72283794.898399904</v>
          </cell>
          <cell r="G102">
            <v>76972755.993599907</v>
          </cell>
          <cell r="H102">
            <v>4049930.0952000101</v>
          </cell>
          <cell r="I102">
            <v>85736587.635711402</v>
          </cell>
          <cell r="J102">
            <v>11111397.0042031</v>
          </cell>
          <cell r="K102">
            <v>4093330.1931166402</v>
          </cell>
          <cell r="L102">
            <v>1.2370255658285501</v>
          </cell>
          <cell r="M102">
            <v>2839383.9774093898</v>
          </cell>
          <cell r="N102">
            <v>3.99994010439007</v>
          </cell>
          <cell r="O102">
            <v>29350.598302221901</v>
          </cell>
          <cell r="P102">
            <v>8.5242541991361893</v>
          </cell>
          <cell r="Q102">
            <v>30.657686599840599</v>
          </cell>
          <cell r="R102">
            <v>3.9690755588214701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0.28859171928190902</v>
          </cell>
          <cell r="X102">
            <v>0</v>
          </cell>
          <cell r="Y102">
            <v>4854933.4997004597</v>
          </cell>
          <cell r="Z102">
            <v>3493566.7631083201</v>
          </cell>
          <cell r="AA102">
            <v>180821.51402378501</v>
          </cell>
          <cell r="AB102">
            <v>2014531.72211821</v>
          </cell>
          <cell r="AC102">
            <v>411381.52754086099</v>
          </cell>
          <cell r="AD102">
            <v>240093.843437834</v>
          </cell>
          <cell r="AE102">
            <v>-191766.759848749</v>
          </cell>
          <cell r="AF102">
            <v>-20513.014993040801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10983049.0950877</v>
          </cell>
          <cell r="AN102">
            <v>11160781.124693399</v>
          </cell>
          <cell r="AO102">
            <v>-7110851.0294934697</v>
          </cell>
          <cell r="AP102">
            <v>639030.99999999895</v>
          </cell>
          <cell r="AQ102">
            <v>4688961.0952000096</v>
          </cell>
        </row>
        <row r="103">
          <cell r="A103" t="str">
            <v>1_2_2012</v>
          </cell>
          <cell r="B103">
            <v>1</v>
          </cell>
          <cell r="C103">
            <v>2</v>
          </cell>
          <cell r="D103">
            <v>2012</v>
          </cell>
          <cell r="E103">
            <v>54073127.7713999</v>
          </cell>
          <cell r="F103">
            <v>76972755.993599907</v>
          </cell>
          <cell r="G103">
            <v>85426704.231399998</v>
          </cell>
          <cell r="H103">
            <v>6160854.3398000496</v>
          </cell>
          <cell r="I103">
            <v>92303087.493416801</v>
          </cell>
          <cell r="J103">
            <v>3577078.9118713001</v>
          </cell>
          <cell r="K103">
            <v>4332729.1135261599</v>
          </cell>
          <cell r="L103">
            <v>1.2133849446182301</v>
          </cell>
          <cell r="M103">
            <v>2992531.8530987999</v>
          </cell>
          <cell r="N103">
            <v>4.0121762756840997</v>
          </cell>
          <cell r="O103">
            <v>28920.409617227298</v>
          </cell>
          <cell r="P103">
            <v>8.6426271311501797</v>
          </cell>
          <cell r="Q103">
            <v>30.4074532164787</v>
          </cell>
          <cell r="R103">
            <v>4.2275376729527299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0.276784920252311</v>
          </cell>
          <cell r="X103">
            <v>0</v>
          </cell>
          <cell r="Y103">
            <v>5893674.26929205</v>
          </cell>
          <cell r="Z103">
            <v>-2224881.26975893</v>
          </cell>
          <cell r="AA103">
            <v>279450.26765789499</v>
          </cell>
          <cell r="AB103">
            <v>36525.410889369799</v>
          </cell>
          <cell r="AC103">
            <v>306662.312680754</v>
          </cell>
          <cell r="AD103">
            <v>-4811.0412326057303</v>
          </cell>
          <cell r="AE103">
            <v>-36817.648015288098</v>
          </cell>
          <cell r="AF103">
            <v>-65675.420976243506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63734.177876650101</v>
          </cell>
          <cell r="AL103">
            <v>0</v>
          </cell>
          <cell r="AM103">
            <v>4247861.0584136397</v>
          </cell>
          <cell r="AN103">
            <v>4283590.7833739901</v>
          </cell>
          <cell r="AO103">
            <v>1877263.5564260599</v>
          </cell>
          <cell r="AP103">
            <v>2293093.898</v>
          </cell>
          <cell r="AQ103">
            <v>8453948.2378000505</v>
          </cell>
        </row>
        <row r="104">
          <cell r="A104" t="str">
            <v>1_2_2013</v>
          </cell>
          <cell r="B104">
            <v>1</v>
          </cell>
          <cell r="C104">
            <v>2</v>
          </cell>
          <cell r="D104">
            <v>2013</v>
          </cell>
          <cell r="E104">
            <v>54073127.7713999</v>
          </cell>
          <cell r="F104">
            <v>85426704.231399998</v>
          </cell>
          <cell r="G104">
            <v>89532577.020399898</v>
          </cell>
          <cell r="H104">
            <v>4105872.7889999398</v>
          </cell>
          <cell r="I104">
            <v>99907776.138448</v>
          </cell>
          <cell r="J104">
            <v>7604688.6450312398</v>
          </cell>
          <cell r="K104">
            <v>5093480.9257774297</v>
          </cell>
          <cell r="L104">
            <v>1.30737700079534</v>
          </cell>
          <cell r="M104">
            <v>2995520.0317080598</v>
          </cell>
          <cell r="N104">
            <v>3.8614805821472298</v>
          </cell>
          <cell r="O104">
            <v>29649.635531707401</v>
          </cell>
          <cell r="P104">
            <v>8.4527083732367991</v>
          </cell>
          <cell r="Q104">
            <v>30.6491411526581</v>
          </cell>
          <cell r="R104">
            <v>4.2599671717609597</v>
          </cell>
          <cell r="S104">
            <v>0</v>
          </cell>
          <cell r="T104">
            <v>0</v>
          </cell>
          <cell r="U104">
            <v>0</v>
          </cell>
          <cell r="V104">
            <v>0.210186126166929</v>
          </cell>
          <cell r="W104">
            <v>0.457882566284531</v>
          </cell>
          <cell r="X104">
            <v>0</v>
          </cell>
          <cell r="Y104">
            <v>9446590.1446388196</v>
          </cell>
          <cell r="Z104">
            <v>-1716118.36085277</v>
          </cell>
          <cell r="AA104">
            <v>426572.19775866403</v>
          </cell>
          <cell r="AB104">
            <v>-455357.303614893</v>
          </cell>
          <cell r="AC104">
            <v>-489764.60874519998</v>
          </cell>
          <cell r="AD104">
            <v>-98435.851709596594</v>
          </cell>
          <cell r="AE104">
            <v>111159.67780518399</v>
          </cell>
          <cell r="AF104">
            <v>-3539.87208253669</v>
          </cell>
          <cell r="AG104">
            <v>0</v>
          </cell>
          <cell r="AH104">
            <v>0</v>
          </cell>
          <cell r="AI104">
            <v>0</v>
          </cell>
          <cell r="AJ104">
            <v>-525663.50553498894</v>
          </cell>
          <cell r="AK104">
            <v>290250.877733359</v>
          </cell>
          <cell r="AL104">
            <v>0</v>
          </cell>
          <cell r="AM104">
            <v>6985693.3953960398</v>
          </cell>
          <cell r="AN104">
            <v>6840095.6645959001</v>
          </cell>
          <cell r="AO104">
            <v>-2734222.8755959598</v>
          </cell>
          <cell r="AP104">
            <v>0</v>
          </cell>
          <cell r="AQ104">
            <v>4105872.7889999398</v>
          </cell>
        </row>
        <row r="105">
          <cell r="A105" t="str">
            <v>1_2_2014</v>
          </cell>
          <cell r="B105">
            <v>1</v>
          </cell>
          <cell r="C105">
            <v>2</v>
          </cell>
          <cell r="D105">
            <v>2014</v>
          </cell>
          <cell r="E105">
            <v>55267150.4544999</v>
          </cell>
          <cell r="F105">
            <v>89532577.020399898</v>
          </cell>
          <cell r="G105">
            <v>89518730.763899893</v>
          </cell>
          <cell r="H105">
            <v>-1207868.9396000199</v>
          </cell>
          <cell r="I105">
            <v>100770429.731398</v>
          </cell>
          <cell r="J105">
            <v>-739736.80660579295</v>
          </cell>
          <cell r="K105">
            <v>5021191.7786635896</v>
          </cell>
          <cell r="L105">
            <v>1.2909042838908</v>
          </cell>
          <cell r="M105">
            <v>3006277.4823498498</v>
          </cell>
          <cell r="N105">
            <v>3.6525822465844899</v>
          </cell>
          <cell r="O105">
            <v>29495.463123630499</v>
          </cell>
          <cell r="P105">
            <v>8.4535643622960599</v>
          </cell>
          <cell r="Q105">
            <v>30.311105149002099</v>
          </cell>
          <cell r="R105">
            <v>4.3315592642941798</v>
          </cell>
          <cell r="S105">
            <v>0</v>
          </cell>
          <cell r="T105">
            <v>0</v>
          </cell>
          <cell r="U105">
            <v>0</v>
          </cell>
          <cell r="V105">
            <v>1.1892765659903499</v>
          </cell>
          <cell r="W105">
            <v>0.44934812645072603</v>
          </cell>
          <cell r="X105">
            <v>0</v>
          </cell>
          <cell r="Y105">
            <v>2017111.5469343101</v>
          </cell>
          <cell r="Z105">
            <v>96454.038243163595</v>
          </cell>
          <cell r="AA105">
            <v>355667.13202239899</v>
          </cell>
          <cell r="AB105">
            <v>-678691.12651442899</v>
          </cell>
          <cell r="AC105">
            <v>-54597.432199594397</v>
          </cell>
          <cell r="AD105">
            <v>-2093.6100780090901</v>
          </cell>
          <cell r="AE105">
            <v>-34575.749279074502</v>
          </cell>
          <cell r="AF105">
            <v>-18154.744471533399</v>
          </cell>
          <cell r="AG105">
            <v>0</v>
          </cell>
          <cell r="AH105">
            <v>0</v>
          </cell>
          <cell r="AI105">
            <v>0</v>
          </cell>
          <cell r="AJ105">
            <v>-2062209.73254756</v>
          </cell>
          <cell r="AK105">
            <v>4378.7753207556298</v>
          </cell>
          <cell r="AL105">
            <v>0</v>
          </cell>
          <cell r="AM105">
            <v>-376710.90256957401</v>
          </cell>
          <cell r="AN105">
            <v>-423990.08472977101</v>
          </cell>
          <cell r="AO105">
            <v>-783878.85487024905</v>
          </cell>
          <cell r="AP105">
            <v>1194022.68309999</v>
          </cell>
          <cell r="AQ105">
            <v>-13846.2565000216</v>
          </cell>
        </row>
        <row r="106">
          <cell r="A106" t="str">
            <v>1_2_2015</v>
          </cell>
          <cell r="B106">
            <v>1</v>
          </cell>
          <cell r="C106">
            <v>2</v>
          </cell>
          <cell r="D106">
            <v>2015</v>
          </cell>
          <cell r="E106">
            <v>55267150.4544999</v>
          </cell>
          <cell r="F106">
            <v>89518730.763899893</v>
          </cell>
          <cell r="G106">
            <v>89090788.186599895</v>
          </cell>
          <cell r="H106">
            <v>-427942.57729999599</v>
          </cell>
          <cell r="I106">
            <v>93819460.241614193</v>
          </cell>
          <cell r="J106">
            <v>-6950969.4897843897</v>
          </cell>
          <cell r="K106">
            <v>5099319.3061875999</v>
          </cell>
          <cell r="L106">
            <v>1.3321148399307601</v>
          </cell>
          <cell r="M106">
            <v>3033871.01361296</v>
          </cell>
          <cell r="N106">
            <v>2.6892344314130798</v>
          </cell>
          <cell r="O106">
            <v>30995.4303112569</v>
          </cell>
          <cell r="P106">
            <v>8.2388008845768006</v>
          </cell>
          <cell r="Q106">
            <v>30.206832945019801</v>
          </cell>
          <cell r="R106">
            <v>4.4691791165809702</v>
          </cell>
          <cell r="S106">
            <v>0</v>
          </cell>
          <cell r="T106">
            <v>0</v>
          </cell>
          <cell r="U106">
            <v>0</v>
          </cell>
          <cell r="V106">
            <v>2.1892765659903501</v>
          </cell>
          <cell r="W106">
            <v>0.62184893962090704</v>
          </cell>
          <cell r="X106">
            <v>0</v>
          </cell>
          <cell r="Y106">
            <v>1859454.38470136</v>
          </cell>
          <cell r="Z106">
            <v>-1168510.2357646199</v>
          </cell>
          <cell r="AA106">
            <v>402608.09624425799</v>
          </cell>
          <cell r="AB106">
            <v>-3646999.0270655998</v>
          </cell>
          <cell r="AC106">
            <v>-1245504.7044132601</v>
          </cell>
          <cell r="AD106">
            <v>-134946.23315296901</v>
          </cell>
          <cell r="AE106">
            <v>-40270.632760140397</v>
          </cell>
          <cell r="AF106">
            <v>-45071.094847099703</v>
          </cell>
          <cell r="AG106">
            <v>0</v>
          </cell>
          <cell r="AH106">
            <v>0</v>
          </cell>
          <cell r="AI106">
            <v>0</v>
          </cell>
          <cell r="AJ106">
            <v>-2282361.8403126602</v>
          </cell>
          <cell r="AK106">
            <v>149286.17838793801</v>
          </cell>
          <cell r="AL106">
            <v>0</v>
          </cell>
          <cell r="AM106">
            <v>-6152315.1089828098</v>
          </cell>
          <cell r="AN106">
            <v>-6298651.0650997404</v>
          </cell>
          <cell r="AO106">
            <v>5870708.4877997497</v>
          </cell>
          <cell r="AP106">
            <v>0</v>
          </cell>
          <cell r="AQ106">
            <v>-427942.57729999599</v>
          </cell>
        </row>
        <row r="107">
          <cell r="A107" t="str">
            <v>1_2_2016</v>
          </cell>
          <cell r="B107">
            <v>1</v>
          </cell>
          <cell r="C107">
            <v>2</v>
          </cell>
          <cell r="D107">
            <v>2016</v>
          </cell>
          <cell r="E107">
            <v>56666494.4544999</v>
          </cell>
          <cell r="F107">
            <v>89090788.186599895</v>
          </cell>
          <cell r="G107">
            <v>88962782.039000005</v>
          </cell>
          <cell r="H107">
            <v>-1527350.14759994</v>
          </cell>
          <cell r="I107">
            <v>94441198.888835207</v>
          </cell>
          <cell r="J107">
            <v>-814831.33357883501</v>
          </cell>
          <cell r="K107">
            <v>5046611.9241673304</v>
          </cell>
          <cell r="L107">
            <v>1.2806845070024999</v>
          </cell>
          <cell r="M107">
            <v>3056276.2452354701</v>
          </cell>
          <cell r="N107">
            <v>2.3756301623102201</v>
          </cell>
          <cell r="O107">
            <v>31780.070854884099</v>
          </cell>
          <cell r="P107">
            <v>7.7292028243605699</v>
          </cell>
          <cell r="Q107">
            <v>29.656129579107901</v>
          </cell>
          <cell r="R107">
            <v>5.1055461392986299</v>
          </cell>
          <cell r="S107">
            <v>0</v>
          </cell>
          <cell r="T107">
            <v>0</v>
          </cell>
          <cell r="U107">
            <v>0</v>
          </cell>
          <cell r="V107">
            <v>3.1846024983687502</v>
          </cell>
          <cell r="W107">
            <v>0.77231809070420698</v>
          </cell>
          <cell r="X107">
            <v>0</v>
          </cell>
          <cell r="Y107">
            <v>2428780.67310102</v>
          </cell>
          <cell r="Z107">
            <v>1152303.34338441</v>
          </cell>
          <cell r="AA107">
            <v>343879.171021797</v>
          </cell>
          <cell r="AB107">
            <v>-1336698.22607843</v>
          </cell>
          <cell r="AC107">
            <v>-481413.02905537799</v>
          </cell>
          <cell r="AD107">
            <v>-188334.82459793499</v>
          </cell>
          <cell r="AE107">
            <v>-42786.566339302997</v>
          </cell>
          <cell r="AF107">
            <v>-177104.05261455901</v>
          </cell>
          <cell r="AG107">
            <v>0</v>
          </cell>
          <cell r="AH107">
            <v>0</v>
          </cell>
          <cell r="AI107">
            <v>0</v>
          </cell>
          <cell r="AJ107">
            <v>-2271451.0532635101</v>
          </cell>
          <cell r="AK107">
            <v>112481.301997231</v>
          </cell>
          <cell r="AL107">
            <v>0</v>
          </cell>
          <cell r="AM107">
            <v>-460343.26244466502</v>
          </cell>
          <cell r="AN107">
            <v>-511097.14368944499</v>
          </cell>
          <cell r="AO107">
            <v>-1016253.00391049</v>
          </cell>
          <cell r="AP107">
            <v>1399344</v>
          </cell>
          <cell r="AQ107">
            <v>-128006.14759994201</v>
          </cell>
        </row>
        <row r="108">
          <cell r="A108" t="str">
            <v>1_2_2017</v>
          </cell>
          <cell r="B108">
            <v>1</v>
          </cell>
          <cell r="C108">
            <v>2</v>
          </cell>
          <cell r="D108">
            <v>2017</v>
          </cell>
          <cell r="E108">
            <v>56666494.4544999</v>
          </cell>
          <cell r="F108">
            <v>88962782.039000005</v>
          </cell>
          <cell r="G108">
            <v>87159118.085199997</v>
          </cell>
          <cell r="H108">
            <v>-1803663.95380002</v>
          </cell>
          <cell r="I108">
            <v>94250297.526099995</v>
          </cell>
          <cell r="J108">
            <v>-190901.36273522899</v>
          </cell>
          <cell r="K108">
            <v>5041719.7545106001</v>
          </cell>
          <cell r="L108">
            <v>1.30929664673721</v>
          </cell>
          <cell r="M108">
            <v>3076137.9778522099</v>
          </cell>
          <cell r="N108">
            <v>2.5930103447086998</v>
          </cell>
          <cell r="O108">
            <v>31600.376715161601</v>
          </cell>
          <cell r="P108">
            <v>7.5930788540837799</v>
          </cell>
          <cell r="Q108">
            <v>29.5358396074129</v>
          </cell>
          <cell r="R108">
            <v>5.3288758792339497</v>
          </cell>
          <cell r="S108">
            <v>0</v>
          </cell>
          <cell r="T108">
            <v>0</v>
          </cell>
          <cell r="U108">
            <v>0</v>
          </cell>
          <cell r="V108">
            <v>4.1846024983687498</v>
          </cell>
          <cell r="W108">
            <v>0.810379332940248</v>
          </cell>
          <cell r="X108">
            <v>0</v>
          </cell>
          <cell r="Y108">
            <v>1242444.59858236</v>
          </cell>
          <cell r="Z108">
            <v>-203160.35855584301</v>
          </cell>
          <cell r="AA108">
            <v>364218.83975235699</v>
          </cell>
          <cell r="AB108">
            <v>984658.45680284104</v>
          </cell>
          <cell r="AC108">
            <v>92399.156021861301</v>
          </cell>
          <cell r="AD108">
            <v>-157548.62531772899</v>
          </cell>
          <cell r="AE108">
            <v>-66555.455117101999</v>
          </cell>
          <cell r="AF108">
            <v>-85154.709603605195</v>
          </cell>
          <cell r="AG108">
            <v>0</v>
          </cell>
          <cell r="AH108">
            <v>0</v>
          </cell>
          <cell r="AI108">
            <v>0</v>
          </cell>
          <cell r="AJ108">
            <v>-2268187.4195623398</v>
          </cell>
          <cell r="AK108">
            <v>150079.05149167901</v>
          </cell>
          <cell r="AL108">
            <v>0</v>
          </cell>
          <cell r="AM108">
            <v>53193.534494483501</v>
          </cell>
          <cell r="AN108">
            <v>61329.032171436702</v>
          </cell>
          <cell r="AO108">
            <v>-1864992.9859714501</v>
          </cell>
          <cell r="AP108">
            <v>0</v>
          </cell>
          <cell r="AQ108">
            <v>-1803663.95380002</v>
          </cell>
        </row>
        <row r="109">
          <cell r="A109" t="str">
            <v>1_2_2018</v>
          </cell>
          <cell r="B109">
            <v>1</v>
          </cell>
          <cell r="C109">
            <v>2</v>
          </cell>
          <cell r="D109">
            <v>2018</v>
          </cell>
          <cell r="E109">
            <v>56666494.4544999</v>
          </cell>
          <cell r="F109">
            <v>87159118.085199997</v>
          </cell>
          <cell r="G109">
            <v>85921106.483399898</v>
          </cell>
          <cell r="H109">
            <v>-1238011.6018000101</v>
          </cell>
          <cell r="I109">
            <v>94586165.516459301</v>
          </cell>
          <cell r="J109">
            <v>335867.99035934702</v>
          </cell>
          <cell r="K109">
            <v>5016670.6256997101</v>
          </cell>
          <cell r="L109">
            <v>1.3252516185851999</v>
          </cell>
          <cell r="M109">
            <v>3096393.3580632801</v>
          </cell>
          <cell r="N109">
            <v>2.8849218669803798</v>
          </cell>
          <cell r="O109">
            <v>31757.714344928201</v>
          </cell>
          <cell r="P109">
            <v>7.3799953649811796</v>
          </cell>
          <cell r="Q109">
            <v>29.429281646957801</v>
          </cell>
          <cell r="R109">
            <v>5.6497184284967901</v>
          </cell>
          <cell r="S109">
            <v>0</v>
          </cell>
          <cell r="T109">
            <v>0</v>
          </cell>
          <cell r="U109">
            <v>0</v>
          </cell>
          <cell r="V109">
            <v>5.1846024983687498</v>
          </cell>
          <cell r="W109">
            <v>0.82753761117432301</v>
          </cell>
          <cell r="X109">
            <v>0.513365290883806</v>
          </cell>
          <cell r="Y109">
            <v>3064087.4088655901</v>
          </cell>
          <cell r="Z109">
            <v>494991.105844651</v>
          </cell>
          <cell r="AA109">
            <v>319289.91774943302</v>
          </cell>
          <cell r="AB109">
            <v>1209122.7341937299</v>
          </cell>
          <cell r="AC109">
            <v>-138823.42549253299</v>
          </cell>
          <cell r="AD109">
            <v>-160047.47861514799</v>
          </cell>
          <cell r="AE109">
            <v>-57752.718475145703</v>
          </cell>
          <cell r="AF109">
            <v>-105366.874942471</v>
          </cell>
          <cell r="AG109">
            <v>0</v>
          </cell>
          <cell r="AH109">
            <v>0</v>
          </cell>
          <cell r="AI109">
            <v>0</v>
          </cell>
          <cell r="AJ109">
            <v>-2222201.3589270702</v>
          </cell>
          <cell r="AK109">
            <v>32054.4948185631</v>
          </cell>
          <cell r="AL109">
            <v>-2333717.3095723698</v>
          </cell>
          <cell r="AM109">
            <v>101636.49544722099</v>
          </cell>
          <cell r="AN109">
            <v>298575.69418770802</v>
          </cell>
          <cell r="AO109">
            <v>-1536587.2959877199</v>
          </cell>
          <cell r="AP109">
            <v>0</v>
          </cell>
          <cell r="AQ109">
            <v>-1238011.6018000101</v>
          </cell>
        </row>
        <row r="110">
          <cell r="A110" t="str">
            <v>1_3_2002</v>
          </cell>
          <cell r="B110">
            <v>1</v>
          </cell>
          <cell r="C110">
            <v>3</v>
          </cell>
          <cell r="D110">
            <v>2002</v>
          </cell>
          <cell r="E110">
            <v>506671.00099999999</v>
          </cell>
          <cell r="F110">
            <v>0</v>
          </cell>
          <cell r="G110">
            <v>506671.00099999999</v>
          </cell>
          <cell r="H110">
            <v>0</v>
          </cell>
          <cell r="I110">
            <v>432825.84167328698</v>
          </cell>
          <cell r="J110">
            <v>0</v>
          </cell>
          <cell r="K110">
            <v>13624.4009482081</v>
          </cell>
          <cell r="L110">
            <v>4.1241436058516499</v>
          </cell>
          <cell r="M110">
            <v>582204.38510840503</v>
          </cell>
          <cell r="N110">
            <v>1.87878283559788</v>
          </cell>
          <cell r="O110">
            <v>33117.002644253596</v>
          </cell>
          <cell r="P110">
            <v>7.2110091952154098</v>
          </cell>
          <cell r="Q110">
            <v>6.4423311678397104</v>
          </cell>
          <cell r="R110">
            <v>2.08501532535902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506671.00099999999</v>
          </cell>
          <cell r="AQ110">
            <v>506671.00099999999</v>
          </cell>
        </row>
        <row r="111">
          <cell r="A111" t="str">
            <v>1_3_2003</v>
          </cell>
          <cell r="B111">
            <v>1</v>
          </cell>
          <cell r="C111">
            <v>3</v>
          </cell>
          <cell r="D111">
            <v>2003</v>
          </cell>
          <cell r="E111">
            <v>506671.00099999999</v>
          </cell>
          <cell r="F111">
            <v>506671.00099999999</v>
          </cell>
          <cell r="G111">
            <v>449077.99199999898</v>
          </cell>
          <cell r="H111">
            <v>-57593.009000000202</v>
          </cell>
          <cell r="I111">
            <v>429072.34991047299</v>
          </cell>
          <cell r="J111">
            <v>-3753.4917628134999</v>
          </cell>
          <cell r="K111">
            <v>13684.2622407044</v>
          </cell>
          <cell r="L111">
            <v>4.3582081568023101</v>
          </cell>
          <cell r="M111">
            <v>600939.24151891505</v>
          </cell>
          <cell r="N111">
            <v>2.1186819046839398</v>
          </cell>
          <cell r="O111">
            <v>31686.883293831001</v>
          </cell>
          <cell r="P111">
            <v>7.1813758645918604</v>
          </cell>
          <cell r="Q111">
            <v>5.8558874549533204</v>
          </cell>
          <cell r="R111">
            <v>2.08501532535902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-11346.7948749022</v>
          </cell>
          <cell r="Z111">
            <v>-15793.0258023194</v>
          </cell>
          <cell r="AA111">
            <v>6154.3701210244399</v>
          </cell>
          <cell r="AB111">
            <v>7191.8030236700197</v>
          </cell>
          <cell r="AC111">
            <v>6189.9417304543304</v>
          </cell>
          <cell r="AD111">
            <v>-102.115939442298</v>
          </cell>
          <cell r="AE111">
            <v>-1619.5137233520099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-9325.3354648672193</v>
          </cell>
          <cell r="AN111">
            <v>-8914.7422869368893</v>
          </cell>
          <cell r="AO111">
            <v>-48678.266713063298</v>
          </cell>
          <cell r="AP111">
            <v>0</v>
          </cell>
          <cell r="AQ111">
            <v>-57593.009000000202</v>
          </cell>
        </row>
        <row r="112">
          <cell r="A112" t="str">
            <v>1_3_2004</v>
          </cell>
          <cell r="B112">
            <v>1</v>
          </cell>
          <cell r="C112">
            <v>3</v>
          </cell>
          <cell r="D112">
            <v>2004</v>
          </cell>
          <cell r="E112">
            <v>506671.00099999999</v>
          </cell>
          <cell r="F112">
            <v>449077.99199999898</v>
          </cell>
          <cell r="G112">
            <v>503256.14500000002</v>
          </cell>
          <cell r="H112">
            <v>54178.153000000297</v>
          </cell>
          <cell r="I112">
            <v>512045.162714832</v>
          </cell>
          <cell r="J112">
            <v>82972.812804358793</v>
          </cell>
          <cell r="K112">
            <v>16594.307203603399</v>
          </cell>
          <cell r="L112">
            <v>4.45523214173285</v>
          </cell>
          <cell r="M112">
            <v>618990.97058617102</v>
          </cell>
          <cell r="N112">
            <v>2.4764436938179899</v>
          </cell>
          <cell r="O112">
            <v>30048.273672892101</v>
          </cell>
          <cell r="P112">
            <v>7.1507333387528904</v>
          </cell>
          <cell r="Q112">
            <v>5.3217783774161003</v>
          </cell>
          <cell r="R112">
            <v>2.08501532535902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65560.968426983396</v>
          </cell>
          <cell r="Z112">
            <v>-2833.2748384772699</v>
          </cell>
          <cell r="AA112">
            <v>5098.7430346868896</v>
          </cell>
          <cell r="AB112">
            <v>8697.3620306401408</v>
          </cell>
          <cell r="AC112">
            <v>6610.7548161025798</v>
          </cell>
          <cell r="AD112">
            <v>-123.254917933429</v>
          </cell>
          <cell r="AE112">
            <v>-1313.94341907014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81697.355132932207</v>
          </cell>
          <cell r="AN112">
            <v>83272.527495385395</v>
          </cell>
          <cell r="AO112">
            <v>-29094.374495385098</v>
          </cell>
          <cell r="AP112">
            <v>0</v>
          </cell>
          <cell r="AQ112">
            <v>54178.153000000297</v>
          </cell>
        </row>
        <row r="113">
          <cell r="A113" t="str">
            <v>1_3_2005</v>
          </cell>
          <cell r="B113">
            <v>1</v>
          </cell>
          <cell r="C113">
            <v>3</v>
          </cell>
          <cell r="D113">
            <v>2005</v>
          </cell>
          <cell r="E113">
            <v>666133.000999999</v>
          </cell>
          <cell r="F113">
            <v>503256.14500000002</v>
          </cell>
          <cell r="G113">
            <v>677557.55599999905</v>
          </cell>
          <cell r="H113">
            <v>14839.4109999998</v>
          </cell>
          <cell r="I113">
            <v>615594.63384900696</v>
          </cell>
          <cell r="J113">
            <v>20933.446642125</v>
          </cell>
          <cell r="K113">
            <v>20756.0478972647</v>
          </cell>
          <cell r="L113">
            <v>3.6476116277033501</v>
          </cell>
          <cell r="M113">
            <v>711732.44760436297</v>
          </cell>
          <cell r="N113">
            <v>2.9527350033383102</v>
          </cell>
          <cell r="O113">
            <v>28991.948688136399</v>
          </cell>
          <cell r="P113">
            <v>6.9801257443781797</v>
          </cell>
          <cell r="Q113">
            <v>4.9125313855003299</v>
          </cell>
          <cell r="R113">
            <v>2.1604178142196502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11522.685069433101</v>
          </cell>
          <cell r="Z113">
            <v>-7872.80494853864</v>
          </cell>
          <cell r="AA113">
            <v>6066.1278438688396</v>
          </cell>
          <cell r="AB113">
            <v>12082.795667662</v>
          </cell>
          <cell r="AC113">
            <v>7344.2598637010497</v>
          </cell>
          <cell r="AD113">
            <v>67.503213728920997</v>
          </cell>
          <cell r="AE113">
            <v>-1326.0958640276799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27884.4708458276</v>
          </cell>
          <cell r="AN113">
            <v>28985.088167575301</v>
          </cell>
          <cell r="AO113">
            <v>-14145.677167575501</v>
          </cell>
          <cell r="AP113">
            <v>159461.99999999901</v>
          </cell>
          <cell r="AQ113">
            <v>174301.410999999</v>
          </cell>
        </row>
        <row r="114">
          <cell r="A114" t="str">
            <v>1_3_2006</v>
          </cell>
          <cell r="B114">
            <v>1</v>
          </cell>
          <cell r="C114">
            <v>3</v>
          </cell>
          <cell r="D114">
            <v>2006</v>
          </cell>
          <cell r="E114">
            <v>666133.000999999</v>
          </cell>
          <cell r="F114">
            <v>677557.55599999905</v>
          </cell>
          <cell r="G114">
            <v>606866.41</v>
          </cell>
          <cell r="H114">
            <v>-70691.1459999996</v>
          </cell>
          <cell r="I114">
            <v>585242.93825624196</v>
          </cell>
          <cell r="J114">
            <v>-30351.6955927651</v>
          </cell>
          <cell r="K114">
            <v>18167.845810797498</v>
          </cell>
          <cell r="L114">
            <v>3.8721048754930401</v>
          </cell>
          <cell r="M114">
            <v>742045.95943859406</v>
          </cell>
          <cell r="N114">
            <v>3.2293761157616001</v>
          </cell>
          <cell r="O114">
            <v>27431.941071965801</v>
          </cell>
          <cell r="P114">
            <v>6.7180665025632003</v>
          </cell>
          <cell r="Q114">
            <v>4.4945173307544097</v>
          </cell>
          <cell r="R114">
            <v>2.7339951629269299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-38583.932792667998</v>
          </cell>
          <cell r="Z114">
            <v>-16721.502178964402</v>
          </cell>
          <cell r="AA114">
            <v>10931.343010806</v>
          </cell>
          <cell r="AB114">
            <v>8134.8972251710102</v>
          </cell>
          <cell r="AC114">
            <v>10527.738863963499</v>
          </cell>
          <cell r="AD114">
            <v>-1151.73721300794</v>
          </cell>
          <cell r="AE114">
            <v>-1542.54333481098</v>
          </cell>
          <cell r="AF114">
            <v>-1163.1276676033399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-29568.8640871141</v>
          </cell>
          <cell r="AN114">
            <v>-30917.532603699299</v>
          </cell>
          <cell r="AO114">
            <v>-39773.613396300199</v>
          </cell>
          <cell r="AP114">
            <v>0</v>
          </cell>
          <cell r="AQ114">
            <v>-70691.1459999996</v>
          </cell>
        </row>
        <row r="115">
          <cell r="A115" t="str">
            <v>1_3_2007</v>
          </cell>
          <cell r="B115">
            <v>1</v>
          </cell>
          <cell r="C115">
            <v>3</v>
          </cell>
          <cell r="D115">
            <v>2007</v>
          </cell>
          <cell r="E115">
            <v>666133.000999999</v>
          </cell>
          <cell r="F115">
            <v>606866.41</v>
          </cell>
          <cell r="G115">
            <v>600250.92200000002</v>
          </cell>
          <cell r="H115">
            <v>-6615.4879999999603</v>
          </cell>
          <cell r="I115">
            <v>630191.51245579706</v>
          </cell>
          <cell r="J115">
            <v>44948.574199555202</v>
          </cell>
          <cell r="K115">
            <v>19705.3262800144</v>
          </cell>
          <cell r="L115">
            <v>3.8717883134665301</v>
          </cell>
          <cell r="M115">
            <v>761612.14286297897</v>
          </cell>
          <cell r="N115">
            <v>3.3652778671756498</v>
          </cell>
          <cell r="O115">
            <v>26682.202869713601</v>
          </cell>
          <cell r="P115">
            <v>7.12560691982591</v>
          </cell>
          <cell r="Q115">
            <v>4.2022428730663401</v>
          </cell>
          <cell r="R115">
            <v>3.03390118649894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93174.1682669492</v>
          </cell>
          <cell r="Z115">
            <v>-3822.0752718385302</v>
          </cell>
          <cell r="AA115">
            <v>5160.2995408712104</v>
          </cell>
          <cell r="AB115">
            <v>3354.9028807787899</v>
          </cell>
          <cell r="AC115">
            <v>4541.1296312374998</v>
          </cell>
          <cell r="AD115">
            <v>1976.76979954428</v>
          </cell>
          <cell r="AE115">
            <v>-930.13586174344505</v>
          </cell>
          <cell r="AF115">
            <v>-553.30650559596404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102901.75248020299</v>
          </cell>
          <cell r="AN115">
            <v>99996.276471625097</v>
          </cell>
          <cell r="AO115">
            <v>-106611.76447162501</v>
          </cell>
          <cell r="AP115">
            <v>0</v>
          </cell>
          <cell r="AQ115">
            <v>-6615.4879999999603</v>
          </cell>
        </row>
        <row r="116">
          <cell r="A116" t="str">
            <v>1_3_2008</v>
          </cell>
          <cell r="B116">
            <v>1</v>
          </cell>
          <cell r="C116">
            <v>3</v>
          </cell>
          <cell r="D116">
            <v>2008</v>
          </cell>
          <cell r="E116">
            <v>666133.000999999</v>
          </cell>
          <cell r="F116">
            <v>600250.92200000002</v>
          </cell>
          <cell r="G116">
            <v>588532.076999999</v>
          </cell>
          <cell r="H116">
            <v>-11718.8450000005</v>
          </cell>
          <cell r="I116">
            <v>657874.05901656905</v>
          </cell>
          <cell r="J116">
            <v>27682.5465607718</v>
          </cell>
          <cell r="K116">
            <v>21919.351213021298</v>
          </cell>
          <cell r="L116">
            <v>4.5811697335476396</v>
          </cell>
          <cell r="M116">
            <v>761007.41646343097</v>
          </cell>
          <cell r="N116">
            <v>3.8368587792267301</v>
          </cell>
          <cell r="O116">
            <v>27123.6905040569</v>
          </cell>
          <cell r="P116">
            <v>7.1306310661825298</v>
          </cell>
          <cell r="Q116">
            <v>4.0109693555103503</v>
          </cell>
          <cell r="R116">
            <v>2.7222704785346599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65521.3959359375</v>
          </cell>
          <cell r="Z116">
            <v>-34565.948818693199</v>
          </cell>
          <cell r="AA116">
            <v>-309.96486234607602</v>
          </cell>
          <cell r="AB116">
            <v>10928.9994913849</v>
          </cell>
          <cell r="AC116">
            <v>-2951.7428197617501</v>
          </cell>
          <cell r="AD116">
            <v>-70.401800080505694</v>
          </cell>
          <cell r="AE116">
            <v>-589.99099438456403</v>
          </cell>
          <cell r="AF116">
            <v>435.97733392248801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38398.323465978698</v>
          </cell>
          <cell r="AN116">
            <v>29995.353809151398</v>
          </cell>
          <cell r="AO116">
            <v>-41714.198809152003</v>
          </cell>
          <cell r="AP116">
            <v>0</v>
          </cell>
          <cell r="AQ116">
            <v>-11718.8450000005</v>
          </cell>
        </row>
        <row r="117">
          <cell r="A117" t="str">
            <v>1_3_2009</v>
          </cell>
          <cell r="B117">
            <v>1</v>
          </cell>
          <cell r="C117">
            <v>3</v>
          </cell>
          <cell r="D117">
            <v>2009</v>
          </cell>
          <cell r="E117">
            <v>666133.000999999</v>
          </cell>
          <cell r="F117">
            <v>588532.076999999</v>
          </cell>
          <cell r="G117">
            <v>573519.96600000001</v>
          </cell>
          <cell r="H117">
            <v>-15012.110999999601</v>
          </cell>
          <cell r="I117">
            <v>500389.73801893299</v>
          </cell>
          <cell r="J117">
            <v>-157484.32099763499</v>
          </cell>
          <cell r="K117">
            <v>18035.541422484199</v>
          </cell>
          <cell r="L117">
            <v>4.8171877966958201</v>
          </cell>
          <cell r="M117">
            <v>754305.73685663997</v>
          </cell>
          <cell r="N117">
            <v>2.7453274117897899</v>
          </cell>
          <cell r="O117">
            <v>26653.020082180399</v>
          </cell>
          <cell r="P117">
            <v>7.2710498409911297</v>
          </cell>
          <cell r="Q117">
            <v>3.7954855206118001</v>
          </cell>
          <cell r="R117">
            <v>2.8854995918450199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-103825.18909873</v>
          </cell>
          <cell r="Z117">
            <v>-13151.1654251569</v>
          </cell>
          <cell r="AA117">
            <v>-2283.10443852655</v>
          </cell>
          <cell r="AB117">
            <v>-25890.741430822502</v>
          </cell>
          <cell r="AC117">
            <v>3020.5218634129701</v>
          </cell>
          <cell r="AD117">
            <v>526.13464370757299</v>
          </cell>
          <cell r="AE117">
            <v>-677.54855278294303</v>
          </cell>
          <cell r="AF117">
            <v>-204.39337855889801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-142485.485817457</v>
          </cell>
          <cell r="AN117">
            <v>-134973.02125629599</v>
          </cell>
          <cell r="AO117">
            <v>119960.91025629699</v>
          </cell>
          <cell r="AP117">
            <v>0</v>
          </cell>
          <cell r="AQ117">
            <v>-15012.110999999601</v>
          </cell>
        </row>
        <row r="118">
          <cell r="A118" t="str">
            <v>1_3_2010</v>
          </cell>
          <cell r="B118">
            <v>1</v>
          </cell>
          <cell r="C118">
            <v>3</v>
          </cell>
          <cell r="D118">
            <v>2010</v>
          </cell>
          <cell r="E118">
            <v>666133.000999999</v>
          </cell>
          <cell r="F118">
            <v>573519.96600000001</v>
          </cell>
          <cell r="G118">
            <v>541144.78500000003</v>
          </cell>
          <cell r="H118">
            <v>-32375.1809999998</v>
          </cell>
          <cell r="I118">
            <v>549029.40641130798</v>
          </cell>
          <cell r="J118">
            <v>48639.6683923741</v>
          </cell>
          <cell r="K118">
            <v>22180.532098128901</v>
          </cell>
          <cell r="L118">
            <v>4.8639573088428003</v>
          </cell>
          <cell r="M118">
            <v>763701.65676194604</v>
          </cell>
          <cell r="N118">
            <v>3.1928987380839802</v>
          </cell>
          <cell r="O118">
            <v>26325.394659116399</v>
          </cell>
          <cell r="P118">
            <v>7.2816651669236201</v>
          </cell>
          <cell r="Q118">
            <v>3.57550617054835</v>
          </cell>
          <cell r="R118">
            <v>3.2759675608685201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56693.993334409497</v>
          </cell>
          <cell r="Z118">
            <v>-5884.3213292933397</v>
          </cell>
          <cell r="AA118">
            <v>1809.7025174604601</v>
          </cell>
          <cell r="AB118">
            <v>11504.221911810801</v>
          </cell>
          <cell r="AC118">
            <v>1655.0234467501</v>
          </cell>
          <cell r="AD118">
            <v>-26.066134768588199</v>
          </cell>
          <cell r="AE118">
            <v>-664.43947318469395</v>
          </cell>
          <cell r="AF118">
            <v>-706.41875032504697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64381.695522859198</v>
          </cell>
          <cell r="AN118">
            <v>64766.983005198701</v>
          </cell>
          <cell r="AO118">
            <v>-97142.164005198603</v>
          </cell>
          <cell r="AP118">
            <v>0</v>
          </cell>
          <cell r="AQ118">
            <v>-32375.1809999998</v>
          </cell>
        </row>
        <row r="119">
          <cell r="A119" t="str">
            <v>1_3_2011</v>
          </cell>
          <cell r="B119">
            <v>1</v>
          </cell>
          <cell r="C119">
            <v>3</v>
          </cell>
          <cell r="D119">
            <v>2011</v>
          </cell>
          <cell r="E119">
            <v>666133.000999999</v>
          </cell>
          <cell r="F119">
            <v>541144.78500000003</v>
          </cell>
          <cell r="G119">
            <v>535075.86</v>
          </cell>
          <cell r="H119">
            <v>-6068.9250000000402</v>
          </cell>
          <cell r="I119">
            <v>573798.28821295896</v>
          </cell>
          <cell r="J119">
            <v>24768.881801651401</v>
          </cell>
          <cell r="K119">
            <v>19965.890512696002</v>
          </cell>
          <cell r="L119">
            <v>4.6937424226325097</v>
          </cell>
          <cell r="M119">
            <v>768024.464054732</v>
          </cell>
          <cell r="N119">
            <v>3.936873096707</v>
          </cell>
          <cell r="O119">
            <v>25333.263027429999</v>
          </cell>
          <cell r="P119">
            <v>7.6065555107365102</v>
          </cell>
          <cell r="Q119">
            <v>3.3894722486000299</v>
          </cell>
          <cell r="R119">
            <v>3.0119222431377399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-10670.623480099201</v>
          </cell>
          <cell r="Z119">
            <v>11937.7781864075</v>
          </cell>
          <cell r="AA119">
            <v>984.75717910942399</v>
          </cell>
          <cell r="AB119">
            <v>15808.8935522669</v>
          </cell>
          <cell r="AC119">
            <v>6001.9901543427204</v>
          </cell>
          <cell r="AD119">
            <v>1145.55988627586</v>
          </cell>
          <cell r="AE119">
            <v>-550.59100869007204</v>
          </cell>
          <cell r="AF119">
            <v>451.55168281216203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25109.316152425301</v>
          </cell>
          <cell r="AN119">
            <v>25313.187208158499</v>
          </cell>
          <cell r="AO119">
            <v>-31382.112208158502</v>
          </cell>
          <cell r="AP119">
            <v>0</v>
          </cell>
          <cell r="AQ119">
            <v>-6068.9250000000402</v>
          </cell>
        </row>
        <row r="120">
          <cell r="A120" t="str">
            <v>1_3_2012</v>
          </cell>
          <cell r="B120">
            <v>1</v>
          </cell>
          <cell r="C120">
            <v>3</v>
          </cell>
          <cell r="D120">
            <v>2012</v>
          </cell>
          <cell r="E120">
            <v>666133.000999999</v>
          </cell>
          <cell r="F120">
            <v>535075.86</v>
          </cell>
          <cell r="G120">
            <v>562428.34400000004</v>
          </cell>
          <cell r="H120">
            <v>27352.483999999899</v>
          </cell>
          <cell r="I120">
            <v>659865.04667206702</v>
          </cell>
          <cell r="J120">
            <v>86066.758459107601</v>
          </cell>
          <cell r="K120">
            <v>23893.9934768577</v>
          </cell>
          <cell r="L120">
            <v>4.2334004323775396</v>
          </cell>
          <cell r="M120">
            <v>776885.71285653603</v>
          </cell>
          <cell r="N120">
            <v>3.9305142316606201</v>
          </cell>
          <cell r="O120">
            <v>25251.2568444272</v>
          </cell>
          <cell r="P120">
            <v>7.3568172461703298</v>
          </cell>
          <cell r="Q120">
            <v>3.5007754765511301</v>
          </cell>
          <cell r="R120">
            <v>3.2896517646030801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0.64663963405710301</v>
          </cell>
          <cell r="X120">
            <v>0</v>
          </cell>
          <cell r="Y120">
            <v>54212.521979515397</v>
          </cell>
          <cell r="Z120">
            <v>19861.763197405799</v>
          </cell>
          <cell r="AA120">
            <v>1893.2418830577201</v>
          </cell>
          <cell r="AB120">
            <v>-75.947866016039796</v>
          </cell>
          <cell r="AC120">
            <v>766.22482834560503</v>
          </cell>
          <cell r="AD120">
            <v>-943.91020601540697</v>
          </cell>
          <cell r="AE120">
            <v>332.48234285367602</v>
          </cell>
          <cell r="AF120">
            <v>-438.75697054062198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5251.2838962788201</v>
          </cell>
          <cell r="AL120">
            <v>0</v>
          </cell>
          <cell r="AM120">
            <v>80858.903084884994</v>
          </cell>
          <cell r="AN120">
            <v>83425.518919986993</v>
          </cell>
          <cell r="AO120">
            <v>-56073.034919986902</v>
          </cell>
          <cell r="AP120">
            <v>0</v>
          </cell>
          <cell r="AQ120">
            <v>27352.483999999899</v>
          </cell>
        </row>
        <row r="121">
          <cell r="A121" t="str">
            <v>1_3_2013</v>
          </cell>
          <cell r="B121">
            <v>1</v>
          </cell>
          <cell r="C121">
            <v>3</v>
          </cell>
          <cell r="D121">
            <v>2013</v>
          </cell>
          <cell r="E121">
            <v>666133.000999999</v>
          </cell>
          <cell r="F121">
            <v>562428.34400000004</v>
          </cell>
          <cell r="G121">
            <v>544517.005</v>
          </cell>
          <cell r="H121">
            <v>-17911.3389999998</v>
          </cell>
          <cell r="I121">
            <v>646997.97267593804</v>
          </cell>
          <cell r="J121">
            <v>-12867.073996129</v>
          </cell>
          <cell r="K121">
            <v>24076.116653215999</v>
          </cell>
          <cell r="L121">
            <v>4.5331588718634004</v>
          </cell>
          <cell r="M121">
            <v>776442.48566450097</v>
          </cell>
          <cell r="N121">
            <v>3.78580559221085</v>
          </cell>
          <cell r="O121">
            <v>25205.7035161485</v>
          </cell>
          <cell r="P121">
            <v>6.9461623789451004</v>
          </cell>
          <cell r="Q121">
            <v>3.54101316135691</v>
          </cell>
          <cell r="R121">
            <v>3.8232258406005601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0.64663963405710301</v>
          </cell>
          <cell r="X121">
            <v>0</v>
          </cell>
          <cell r="Y121">
            <v>13354.822601288801</v>
          </cell>
          <cell r="Z121">
            <v>-18023.639097932501</v>
          </cell>
          <cell r="AA121">
            <v>-626.28380867828105</v>
          </cell>
          <cell r="AB121">
            <v>-2929.6222398468199</v>
          </cell>
          <cell r="AC121">
            <v>-415.35598105382297</v>
          </cell>
          <cell r="AD121">
            <v>-1247.3215189797299</v>
          </cell>
          <cell r="AE121">
            <v>136.66547339351601</v>
          </cell>
          <cell r="AF121">
            <v>-940.431017537191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-10691.165589345999</v>
          </cell>
          <cell r="AN121">
            <v>-11136.389351252699</v>
          </cell>
          <cell r="AO121">
            <v>-6774.9496487470597</v>
          </cell>
          <cell r="AP121">
            <v>0</v>
          </cell>
          <cell r="AQ121">
            <v>-17911.3389999998</v>
          </cell>
        </row>
        <row r="122">
          <cell r="A122" t="str">
            <v>1_3_2014</v>
          </cell>
          <cell r="B122">
            <v>1</v>
          </cell>
          <cell r="C122">
            <v>3</v>
          </cell>
          <cell r="D122">
            <v>2014</v>
          </cell>
          <cell r="E122">
            <v>666133.000999999</v>
          </cell>
          <cell r="F122">
            <v>544517.005</v>
          </cell>
          <cell r="G122">
            <v>555022.66699999897</v>
          </cell>
          <cell r="H122">
            <v>10505.6619999994</v>
          </cell>
          <cell r="I122">
            <v>597181.61375687597</v>
          </cell>
          <cell r="J122">
            <v>-49816.3589190614</v>
          </cell>
          <cell r="K122">
            <v>24073.784434311801</v>
          </cell>
          <cell r="L122">
            <v>4.5979227858210097</v>
          </cell>
          <cell r="M122">
            <v>776616.07821912796</v>
          </cell>
          <cell r="N122">
            <v>3.5820937929366998</v>
          </cell>
          <cell r="O122">
            <v>25292.825836116801</v>
          </cell>
          <cell r="P122">
            <v>6.8598281017607103</v>
          </cell>
          <cell r="Q122">
            <v>3.6553556118924302</v>
          </cell>
          <cell r="R122">
            <v>3.5512128937446201</v>
          </cell>
          <cell r="S122">
            <v>0</v>
          </cell>
          <cell r="T122">
            <v>0</v>
          </cell>
          <cell r="U122">
            <v>0</v>
          </cell>
          <cell r="V122">
            <v>0.88602426109196697</v>
          </cell>
          <cell r="W122">
            <v>0.64663963405710301</v>
          </cell>
          <cell r="X122">
            <v>0</v>
          </cell>
          <cell r="Y122">
            <v>-22112.439692862801</v>
          </cell>
          <cell r="Z122">
            <v>-3582.5684065522501</v>
          </cell>
          <cell r="AA122">
            <v>-414.83602486537097</v>
          </cell>
          <cell r="AB122">
            <v>-4109.3038781752502</v>
          </cell>
          <cell r="AC122">
            <v>-673.96952934815795</v>
          </cell>
          <cell r="AD122">
            <v>-484.67498661584602</v>
          </cell>
          <cell r="AE122">
            <v>349.92125571935799</v>
          </cell>
          <cell r="AF122">
            <v>559.60134086413905</v>
          </cell>
          <cell r="AG122">
            <v>0</v>
          </cell>
          <cell r="AH122">
            <v>0</v>
          </cell>
          <cell r="AI122">
            <v>0</v>
          </cell>
          <cell r="AJ122">
            <v>-12200.6615997802</v>
          </cell>
          <cell r="AK122">
            <v>0</v>
          </cell>
          <cell r="AL122">
            <v>0</v>
          </cell>
          <cell r="AM122">
            <v>-42668.931521616403</v>
          </cell>
          <cell r="AN122">
            <v>-41698.946582768898</v>
          </cell>
          <cell r="AO122">
            <v>52204.608582768298</v>
          </cell>
          <cell r="AP122">
            <v>0</v>
          </cell>
          <cell r="AQ122">
            <v>10505.6619999994</v>
          </cell>
        </row>
        <row r="123">
          <cell r="A123" t="str">
            <v>1_3_2015</v>
          </cell>
          <cell r="B123">
            <v>1</v>
          </cell>
          <cell r="C123">
            <v>3</v>
          </cell>
          <cell r="D123">
            <v>2015</v>
          </cell>
          <cell r="E123">
            <v>666133.000999999</v>
          </cell>
          <cell r="F123">
            <v>555022.66699999897</v>
          </cell>
          <cell r="G123">
            <v>585323.97099999897</v>
          </cell>
          <cell r="H123">
            <v>30301.303999999898</v>
          </cell>
          <cell r="I123">
            <v>584025.35801597498</v>
          </cell>
          <cell r="J123">
            <v>-13156.2557409009</v>
          </cell>
          <cell r="K123">
            <v>24576.348443185801</v>
          </cell>
          <cell r="L123">
            <v>4.2342595157218401</v>
          </cell>
          <cell r="M123">
            <v>784468.66196500405</v>
          </cell>
          <cell r="N123">
            <v>2.5309143669088301</v>
          </cell>
          <cell r="O123">
            <v>26264.015030682898</v>
          </cell>
          <cell r="P123">
            <v>6.9934083792674899</v>
          </cell>
          <cell r="Q123">
            <v>3.7546445182438002</v>
          </cell>
          <cell r="R123">
            <v>3.8323367846476</v>
          </cell>
          <cell r="S123">
            <v>0</v>
          </cell>
          <cell r="T123">
            <v>0</v>
          </cell>
          <cell r="U123">
            <v>0</v>
          </cell>
          <cell r="V123">
            <v>1.7720485221839299</v>
          </cell>
          <cell r="W123">
            <v>0.64663963405710301</v>
          </cell>
          <cell r="X123">
            <v>0</v>
          </cell>
          <cell r="Y123">
            <v>11934.672220352701</v>
          </cell>
          <cell r="Z123">
            <v>22616.299242610599</v>
          </cell>
          <cell r="AA123">
            <v>1882.007346415</v>
          </cell>
          <cell r="AB123">
            <v>-24907.565702272401</v>
          </cell>
          <cell r="AC123">
            <v>-5991.6104715182501</v>
          </cell>
          <cell r="AD123">
            <v>449.89905324022698</v>
          </cell>
          <cell r="AE123">
            <v>332.52430115464199</v>
          </cell>
          <cell r="AF123">
            <v>-573.993452926445</v>
          </cell>
          <cell r="AG123">
            <v>0</v>
          </cell>
          <cell r="AH123">
            <v>0</v>
          </cell>
          <cell r="AI123">
            <v>0</v>
          </cell>
          <cell r="AJ123">
            <v>-12725.6224642945</v>
          </cell>
          <cell r="AK123">
            <v>0</v>
          </cell>
          <cell r="AL123">
            <v>0</v>
          </cell>
          <cell r="AM123">
            <v>-6983.3899272383997</v>
          </cell>
          <cell r="AN123">
            <v>-9550.0145333985092</v>
          </cell>
          <cell r="AO123">
            <v>39851.3185333984</v>
          </cell>
          <cell r="AP123">
            <v>0</v>
          </cell>
          <cell r="AQ123">
            <v>30301.303999999898</v>
          </cell>
        </row>
        <row r="124">
          <cell r="A124" t="str">
            <v>1_3_2016</v>
          </cell>
          <cell r="B124">
            <v>1</v>
          </cell>
          <cell r="C124">
            <v>3</v>
          </cell>
          <cell r="D124">
            <v>2016</v>
          </cell>
          <cell r="E124">
            <v>666133.000999999</v>
          </cell>
          <cell r="F124">
            <v>585323.97099999897</v>
          </cell>
          <cell r="G124">
            <v>597725.02099999995</v>
          </cell>
          <cell r="H124">
            <v>12401.050000000499</v>
          </cell>
          <cell r="I124">
            <v>539463.346234789</v>
          </cell>
          <cell r="J124">
            <v>-44562.0117811866</v>
          </cell>
          <cell r="K124">
            <v>24429.409498038</v>
          </cell>
          <cell r="L124">
            <v>4.6282966443421696</v>
          </cell>
          <cell r="M124">
            <v>795147.06632548803</v>
          </cell>
          <cell r="N124">
            <v>2.2872237580757502</v>
          </cell>
          <cell r="O124">
            <v>27014.838447886399</v>
          </cell>
          <cell r="P124">
            <v>6.5258974298887704</v>
          </cell>
          <cell r="Q124">
            <v>3.7764767410823499</v>
          </cell>
          <cell r="R124">
            <v>3.8261311161192499</v>
          </cell>
          <cell r="S124">
            <v>0</v>
          </cell>
          <cell r="T124">
            <v>0</v>
          </cell>
          <cell r="U124">
            <v>0</v>
          </cell>
          <cell r="V124">
            <v>2.7720485221839302</v>
          </cell>
          <cell r="W124">
            <v>0.64663963405710301</v>
          </cell>
          <cell r="X124">
            <v>0</v>
          </cell>
          <cell r="Y124">
            <v>8962.5064615273895</v>
          </cell>
          <cell r="Z124">
            <v>-27880.8838421234</v>
          </cell>
          <cell r="AA124">
            <v>2828.7379196997299</v>
          </cell>
          <cell r="AB124">
            <v>-7228.0542251487204</v>
          </cell>
          <cell r="AC124">
            <v>-4032.79200021113</v>
          </cell>
          <cell r="AD124">
            <v>-2122.75022992391</v>
          </cell>
          <cell r="AE124">
            <v>97.985576069168999</v>
          </cell>
          <cell r="AF124">
            <v>124.649087024734</v>
          </cell>
          <cell r="AG124">
            <v>0</v>
          </cell>
          <cell r="AH124">
            <v>0</v>
          </cell>
          <cell r="AI124">
            <v>0</v>
          </cell>
          <cell r="AJ124">
            <v>-14923.369491845</v>
          </cell>
          <cell r="AK124">
            <v>0</v>
          </cell>
          <cell r="AL124">
            <v>0</v>
          </cell>
          <cell r="AM124">
            <v>-44173.970744931197</v>
          </cell>
          <cell r="AN124">
            <v>-43486.1007728689</v>
          </cell>
          <cell r="AO124">
            <v>55887.150772869398</v>
          </cell>
          <cell r="AP124">
            <v>0</v>
          </cell>
          <cell r="AQ124">
            <v>12401.050000000499</v>
          </cell>
        </row>
        <row r="125">
          <cell r="A125" t="str">
            <v>1_3_2017</v>
          </cell>
          <cell r="B125">
            <v>1</v>
          </cell>
          <cell r="C125">
            <v>3</v>
          </cell>
          <cell r="D125">
            <v>2017</v>
          </cell>
          <cell r="E125">
            <v>666133.000999999</v>
          </cell>
          <cell r="F125">
            <v>597725.02099999995</v>
          </cell>
          <cell r="G125">
            <v>644457.18299999903</v>
          </cell>
          <cell r="H125">
            <v>46732.161999999596</v>
          </cell>
          <cell r="I125">
            <v>584765.09602500906</v>
          </cell>
          <cell r="J125">
            <v>45301.749790220398</v>
          </cell>
          <cell r="K125">
            <v>24685.176631135899</v>
          </cell>
          <cell r="L125">
            <v>4.32587637890507</v>
          </cell>
          <cell r="M125">
            <v>805251.42143171094</v>
          </cell>
          <cell r="N125">
            <v>2.4910583745314199</v>
          </cell>
          <cell r="O125">
            <v>27652.259777774401</v>
          </cell>
          <cell r="P125">
            <v>6.1395333704537398</v>
          </cell>
          <cell r="Q125">
            <v>3.7199828561588602</v>
          </cell>
          <cell r="R125">
            <v>4.9064388026018202</v>
          </cell>
          <cell r="S125">
            <v>0</v>
          </cell>
          <cell r="T125">
            <v>0</v>
          </cell>
          <cell r="U125">
            <v>0</v>
          </cell>
          <cell r="V125">
            <v>3.7720485221839302</v>
          </cell>
          <cell r="W125">
            <v>0.64663963405710301</v>
          </cell>
          <cell r="X125">
            <v>0</v>
          </cell>
          <cell r="Y125">
            <v>28366.1561638352</v>
          </cell>
          <cell r="Z125">
            <v>29296.942636641801</v>
          </cell>
          <cell r="AA125">
            <v>2817.8918164545998</v>
          </cell>
          <cell r="AB125">
            <v>6160.1728037267103</v>
          </cell>
          <cell r="AC125">
            <v>-4580.2510976537997</v>
          </cell>
          <cell r="AD125">
            <v>-1278.62639308454</v>
          </cell>
          <cell r="AE125">
            <v>-121.099958317519</v>
          </cell>
          <cell r="AF125">
            <v>-2051.4149478885502</v>
          </cell>
          <cell r="AG125">
            <v>0</v>
          </cell>
          <cell r="AH125">
            <v>0</v>
          </cell>
          <cell r="AI125">
            <v>0</v>
          </cell>
          <cell r="AJ125">
            <v>-15239.5455932964</v>
          </cell>
          <cell r="AK125">
            <v>0</v>
          </cell>
          <cell r="AL125">
            <v>0</v>
          </cell>
          <cell r="AM125">
            <v>43370.2254304175</v>
          </cell>
          <cell r="AN125">
            <v>41445.155809200303</v>
          </cell>
          <cell r="AO125">
            <v>5287.0061907993304</v>
          </cell>
          <cell r="AP125">
            <v>0</v>
          </cell>
          <cell r="AQ125">
            <v>46732.161999999596</v>
          </cell>
        </row>
        <row r="126">
          <cell r="A126" t="str">
            <v>1_3_2018</v>
          </cell>
          <cell r="B126">
            <v>1</v>
          </cell>
          <cell r="C126">
            <v>3</v>
          </cell>
          <cell r="D126">
            <v>2018</v>
          </cell>
          <cell r="E126">
            <v>666133.000999999</v>
          </cell>
          <cell r="F126">
            <v>644457.18299999903</v>
          </cell>
          <cell r="G126">
            <v>581062.38399999996</v>
          </cell>
          <cell r="H126">
            <v>-63394.798999999701</v>
          </cell>
          <cell r="I126">
            <v>563465.54858647601</v>
          </cell>
          <cell r="J126">
            <v>-21299.547438533002</v>
          </cell>
          <cell r="K126">
            <v>25700.075049190898</v>
          </cell>
          <cell r="L126">
            <v>4.63398847896757</v>
          </cell>
          <cell r="M126">
            <v>813487.90422204102</v>
          </cell>
          <cell r="N126">
            <v>2.70281490365615</v>
          </cell>
          <cell r="O126">
            <v>28384.050607585399</v>
          </cell>
          <cell r="P126">
            <v>5.74293740486819</v>
          </cell>
          <cell r="Q126">
            <v>3.6834481166480901</v>
          </cell>
          <cell r="R126">
            <v>5.7151181503316604</v>
          </cell>
          <cell r="S126">
            <v>0</v>
          </cell>
          <cell r="T126">
            <v>0</v>
          </cell>
          <cell r="U126">
            <v>0</v>
          </cell>
          <cell r="V126">
            <v>4.7720485221839297</v>
          </cell>
          <cell r="W126">
            <v>0.64663963405710301</v>
          </cell>
          <cell r="X126">
            <v>0.23938462703486399</v>
          </cell>
          <cell r="Y126">
            <v>6456.1939103196601</v>
          </cell>
          <cell r="Z126">
            <v>-11786.8062349416</v>
          </cell>
          <cell r="AA126">
            <v>2572.6248089432902</v>
          </cell>
          <cell r="AB126">
            <v>6592.9685952394002</v>
          </cell>
          <cell r="AC126">
            <v>-4886.8848236628601</v>
          </cell>
          <cell r="AD126">
            <v>-1658.5449897588201</v>
          </cell>
          <cell r="AE126">
            <v>-82.086335970619999</v>
          </cell>
          <cell r="AF126">
            <v>-1588.7651825344999</v>
          </cell>
          <cell r="AG126">
            <v>0</v>
          </cell>
          <cell r="AH126">
            <v>0</v>
          </cell>
          <cell r="AI126">
            <v>0</v>
          </cell>
          <cell r="AJ126">
            <v>-16431.024765911301</v>
          </cell>
          <cell r="AK126">
            <v>0</v>
          </cell>
          <cell r="AL126">
            <v>-4494.89939372555</v>
          </cell>
          <cell r="AM126">
            <v>-25307.224412003001</v>
          </cell>
          <cell r="AN126">
            <v>-24702.027557255999</v>
          </cell>
          <cell r="AO126">
            <v>-38692.7714427436</v>
          </cell>
          <cell r="AP126">
            <v>0</v>
          </cell>
          <cell r="AQ126">
            <v>-63394.798999999701</v>
          </cell>
        </row>
        <row r="127">
          <cell r="A127" t="str">
            <v>1_10_2002</v>
          </cell>
          <cell r="B127">
            <v>1</v>
          </cell>
          <cell r="C127">
            <v>10</v>
          </cell>
          <cell r="D127">
            <v>2002</v>
          </cell>
          <cell r="E127">
            <v>2028458449</v>
          </cell>
          <cell r="F127">
            <v>0</v>
          </cell>
          <cell r="G127">
            <v>2028458449</v>
          </cell>
          <cell r="H127">
            <v>0</v>
          </cell>
          <cell r="I127">
            <v>2263234843.73909</v>
          </cell>
          <cell r="J127">
            <v>0</v>
          </cell>
          <cell r="K127">
            <v>474570591.5</v>
          </cell>
          <cell r="L127">
            <v>1.7610024580000001</v>
          </cell>
          <cell r="M127">
            <v>25697520.3899999</v>
          </cell>
          <cell r="N127">
            <v>1.974</v>
          </cell>
          <cell r="O127">
            <v>42439.074999999903</v>
          </cell>
          <cell r="P127">
            <v>31.71</v>
          </cell>
          <cell r="Q127">
            <v>80.049944068744793</v>
          </cell>
          <cell r="R127">
            <v>3.5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2028458449</v>
          </cell>
          <cell r="AQ127">
            <v>2028458449</v>
          </cell>
        </row>
        <row r="128">
          <cell r="A128" t="str">
            <v>1_10_2003</v>
          </cell>
          <cell r="B128">
            <v>1</v>
          </cell>
          <cell r="C128">
            <v>10</v>
          </cell>
          <cell r="D128">
            <v>2003</v>
          </cell>
          <cell r="E128">
            <v>2028458449</v>
          </cell>
          <cell r="F128">
            <v>2028458449</v>
          </cell>
          <cell r="G128">
            <v>1999850729.99999</v>
          </cell>
          <cell r="H128">
            <v>-28607719.0000019</v>
          </cell>
          <cell r="I128">
            <v>2330179264.5243101</v>
          </cell>
          <cell r="J128">
            <v>66944420.785220601</v>
          </cell>
          <cell r="K128">
            <v>503552796.69999999</v>
          </cell>
          <cell r="L128">
            <v>1.9292153139999999</v>
          </cell>
          <cell r="M128">
            <v>26042245.269999899</v>
          </cell>
          <cell r="N128">
            <v>2.2467999999999901</v>
          </cell>
          <cell r="O128">
            <v>41148.635000000002</v>
          </cell>
          <cell r="P128">
            <v>31.36</v>
          </cell>
          <cell r="Q128">
            <v>77.880399100855897</v>
          </cell>
          <cell r="R128">
            <v>3.5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102656433.266598</v>
          </cell>
          <cell r="Z128">
            <v>-69669017.543079004</v>
          </cell>
          <cell r="AA128">
            <v>10207227.679607701</v>
          </cell>
          <cell r="AB128">
            <v>31610431.155010499</v>
          </cell>
          <cell r="AC128">
            <v>17315139.596540701</v>
          </cell>
          <cell r="AD128">
            <v>-4877946.4917536797</v>
          </cell>
          <cell r="AE128">
            <v>-23884397.436824299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63357870.226100102</v>
          </cell>
          <cell r="AN128">
            <v>59999949.333957098</v>
          </cell>
          <cell r="AO128">
            <v>-88607668.333958998</v>
          </cell>
          <cell r="AP128">
            <v>0</v>
          </cell>
          <cell r="AQ128">
            <v>-28607719.0000019</v>
          </cell>
        </row>
        <row r="129">
          <cell r="A129" t="str">
            <v>1_10_2004</v>
          </cell>
          <cell r="B129">
            <v>1</v>
          </cell>
          <cell r="C129">
            <v>10</v>
          </cell>
          <cell r="D129">
            <v>2004</v>
          </cell>
          <cell r="E129">
            <v>2028458449</v>
          </cell>
          <cell r="F129">
            <v>1999850729.99999</v>
          </cell>
          <cell r="G129">
            <v>2115153451.99999</v>
          </cell>
          <cell r="H129">
            <v>115302722</v>
          </cell>
          <cell r="I129">
            <v>2465209174.85006</v>
          </cell>
          <cell r="J129">
            <v>135029910.32574901</v>
          </cell>
          <cell r="K129">
            <v>521860484</v>
          </cell>
          <cell r="L129">
            <v>1.9019918869999899</v>
          </cell>
          <cell r="M129">
            <v>26563773.749999899</v>
          </cell>
          <cell r="N129">
            <v>2.5669</v>
          </cell>
          <cell r="O129">
            <v>39531.589999999997</v>
          </cell>
          <cell r="P129">
            <v>31</v>
          </cell>
          <cell r="Q129">
            <v>75.769629990336796</v>
          </cell>
          <cell r="R129">
            <v>3.5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60373082.0788927</v>
          </cell>
          <cell r="Z129">
            <v>11065412.115662901</v>
          </cell>
          <cell r="AA129">
            <v>14992495.778270001</v>
          </cell>
          <cell r="AB129">
            <v>33407804.851261798</v>
          </cell>
          <cell r="AC129">
            <v>22191766.743654098</v>
          </cell>
          <cell r="AD129">
            <v>-4946386.1997806197</v>
          </cell>
          <cell r="AE129">
            <v>-22913285.756645299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114170889.611315</v>
          </cell>
          <cell r="AN129">
            <v>115887935.68288399</v>
          </cell>
          <cell r="AO129">
            <v>-585213.68288426101</v>
          </cell>
          <cell r="AP129">
            <v>0</v>
          </cell>
          <cell r="AQ129">
            <v>115302722</v>
          </cell>
        </row>
        <row r="130">
          <cell r="A130" t="str">
            <v>1_10_2005</v>
          </cell>
          <cell r="B130">
            <v>1</v>
          </cell>
          <cell r="C130">
            <v>10</v>
          </cell>
          <cell r="D130">
            <v>2005</v>
          </cell>
          <cell r="E130">
            <v>2028458449</v>
          </cell>
          <cell r="F130">
            <v>2115153451.99999</v>
          </cell>
          <cell r="G130">
            <v>2507212522.99999</v>
          </cell>
          <cell r="H130">
            <v>392059070.99999601</v>
          </cell>
          <cell r="I130">
            <v>2721669243.7048998</v>
          </cell>
          <cell r="J130">
            <v>256460068.85484201</v>
          </cell>
          <cell r="K130">
            <v>527998936.69999999</v>
          </cell>
          <cell r="L130">
            <v>1.608699594</v>
          </cell>
          <cell r="M130">
            <v>27081157.499999899</v>
          </cell>
          <cell r="N130">
            <v>3.0314999999999901</v>
          </cell>
          <cell r="O130">
            <v>38116.919999999896</v>
          </cell>
          <cell r="P130">
            <v>30.68</v>
          </cell>
          <cell r="Q130">
            <v>73.864023075675206</v>
          </cell>
          <cell r="R130">
            <v>3.5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20700545.934735801</v>
          </cell>
          <cell r="Z130">
            <v>137459539.72464901</v>
          </cell>
          <cell r="AA130">
            <v>15424633.9411222</v>
          </cell>
          <cell r="AB130">
            <v>46127459.714896798</v>
          </cell>
          <cell r="AC130">
            <v>21324270.265618</v>
          </cell>
          <cell r="AD130">
            <v>-4650927.0314648096</v>
          </cell>
          <cell r="AE130">
            <v>-21891072.3958093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214494450.15374801</v>
          </cell>
          <cell r="AN130">
            <v>220043153.12167001</v>
          </cell>
          <cell r="AO130">
            <v>172015917.878326</v>
          </cell>
          <cell r="AP130">
            <v>0</v>
          </cell>
          <cell r="AQ130">
            <v>392059070.99999601</v>
          </cell>
        </row>
        <row r="131">
          <cell r="A131" t="str">
            <v>1_10_2006</v>
          </cell>
          <cell r="B131">
            <v>1</v>
          </cell>
          <cell r="C131">
            <v>10</v>
          </cell>
          <cell r="D131">
            <v>2006</v>
          </cell>
          <cell r="E131">
            <v>2028458449</v>
          </cell>
          <cell r="F131">
            <v>2507212522.99999</v>
          </cell>
          <cell r="G131">
            <v>2603647774.99999</v>
          </cell>
          <cell r="H131">
            <v>96435252.000002801</v>
          </cell>
          <cell r="I131">
            <v>2843369460.3350101</v>
          </cell>
          <cell r="J131">
            <v>121700216.630115</v>
          </cell>
          <cell r="K131">
            <v>539962610.09999895</v>
          </cell>
          <cell r="L131">
            <v>1.587646779</v>
          </cell>
          <cell r="M131">
            <v>27655014.75</v>
          </cell>
          <cell r="N131">
            <v>3.3499999999999899</v>
          </cell>
          <cell r="O131">
            <v>36028.75</v>
          </cell>
          <cell r="P131">
            <v>30.18</v>
          </cell>
          <cell r="Q131">
            <v>71.580004948312606</v>
          </cell>
          <cell r="R131">
            <v>3.7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47224484.194425002</v>
          </cell>
          <cell r="Z131">
            <v>12034543.552061601</v>
          </cell>
          <cell r="AA131">
            <v>19881513.9356541</v>
          </cell>
          <cell r="AB131">
            <v>33816284.601315901</v>
          </cell>
          <cell r="AC131">
            <v>39186793.197364897</v>
          </cell>
          <cell r="AD131">
            <v>-8608749.4846735206</v>
          </cell>
          <cell r="AE131">
            <v>-31069536.778560799</v>
          </cell>
          <cell r="AF131">
            <v>-1503915.1084250901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110961418.109162</v>
          </cell>
          <cell r="AN131">
            <v>112110723.18673</v>
          </cell>
          <cell r="AO131">
            <v>-15675471.1867276</v>
          </cell>
          <cell r="AP131">
            <v>0</v>
          </cell>
          <cell r="AQ131">
            <v>96435252.000002801</v>
          </cell>
        </row>
        <row r="132">
          <cell r="A132" t="str">
            <v>1_10_2007</v>
          </cell>
          <cell r="B132">
            <v>1</v>
          </cell>
          <cell r="C132">
            <v>10</v>
          </cell>
          <cell r="D132">
            <v>2007</v>
          </cell>
          <cell r="E132">
            <v>2028458449</v>
          </cell>
          <cell r="F132">
            <v>2603647774.99999</v>
          </cell>
          <cell r="G132">
            <v>2751026060</v>
          </cell>
          <cell r="H132">
            <v>147378285.00000399</v>
          </cell>
          <cell r="I132">
            <v>2899139621.3145599</v>
          </cell>
          <cell r="J132">
            <v>55770160.979546003</v>
          </cell>
          <cell r="K132">
            <v>543107372.799999</v>
          </cell>
          <cell r="L132">
            <v>1.5239354949999999</v>
          </cell>
          <cell r="M132">
            <v>27714120</v>
          </cell>
          <cell r="N132">
            <v>3.4605999999999901</v>
          </cell>
          <cell r="O132">
            <v>36660.58</v>
          </cell>
          <cell r="P132">
            <v>30.4</v>
          </cell>
          <cell r="Q132">
            <v>71.140340863312602</v>
          </cell>
          <cell r="R132">
            <v>3.6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12622811.5224394</v>
          </cell>
          <cell r="Z132">
            <v>38641368.7878941</v>
          </cell>
          <cell r="AA132">
            <v>2094652.7787518101</v>
          </cell>
          <cell r="AB132">
            <v>11543594.7976103</v>
          </cell>
          <cell r="AC132">
            <v>-12429836.378733801</v>
          </cell>
          <cell r="AD132">
            <v>3943294.0397928301</v>
          </cell>
          <cell r="AE132">
            <v>-6242105.2519001598</v>
          </cell>
          <cell r="AF132">
            <v>781231.67406017205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50955011.969914697</v>
          </cell>
          <cell r="AN132">
            <v>51068233.506551698</v>
          </cell>
          <cell r="AO132">
            <v>96310051.493452996</v>
          </cell>
          <cell r="AP132">
            <v>0</v>
          </cell>
          <cell r="AQ132">
            <v>147378285.00000399</v>
          </cell>
        </row>
        <row r="133">
          <cell r="A133" t="str">
            <v>1_10_2008</v>
          </cell>
          <cell r="B133">
            <v>1</v>
          </cell>
          <cell r="C133">
            <v>10</v>
          </cell>
          <cell r="D133">
            <v>2008</v>
          </cell>
          <cell r="E133">
            <v>2028458449</v>
          </cell>
          <cell r="F133">
            <v>2751026060</v>
          </cell>
          <cell r="G133">
            <v>2818659238.99999</v>
          </cell>
          <cell r="H133">
            <v>67633178.999994695</v>
          </cell>
          <cell r="I133">
            <v>2990240503.6879201</v>
          </cell>
          <cell r="J133">
            <v>91100882.373355806</v>
          </cell>
          <cell r="K133">
            <v>558408346.89999902</v>
          </cell>
          <cell r="L133">
            <v>1.54893287999999</v>
          </cell>
          <cell r="M133">
            <v>27956797.669999901</v>
          </cell>
          <cell r="N133">
            <v>3.9195000000000002</v>
          </cell>
          <cell r="O133">
            <v>36716.94</v>
          </cell>
          <cell r="P133">
            <v>30.42</v>
          </cell>
          <cell r="Q133">
            <v>69.981314054055801</v>
          </cell>
          <cell r="R133">
            <v>3.7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64398530.188969404</v>
          </cell>
          <cell r="Z133">
            <v>-15975664.3625424</v>
          </cell>
          <cell r="AA133">
            <v>9049172.77599038</v>
          </cell>
          <cell r="AB133">
            <v>47877287.205725402</v>
          </cell>
          <cell r="AC133">
            <v>-1163034.064178</v>
          </cell>
          <cell r="AD133">
            <v>378512.43984612799</v>
          </cell>
          <cell r="AE133">
            <v>-17352572.320632901</v>
          </cell>
          <cell r="AF133">
            <v>-825205.32858825603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86387026.534589797</v>
          </cell>
          <cell r="AN133">
            <v>86446647.707314298</v>
          </cell>
          <cell r="AO133">
            <v>-18813468.707319599</v>
          </cell>
          <cell r="AP133">
            <v>0</v>
          </cell>
          <cell r="AQ133">
            <v>67633178.999994695</v>
          </cell>
        </row>
        <row r="134">
          <cell r="A134" t="str">
            <v>1_10_2009</v>
          </cell>
          <cell r="B134">
            <v>1</v>
          </cell>
          <cell r="C134">
            <v>10</v>
          </cell>
          <cell r="D134">
            <v>2009</v>
          </cell>
          <cell r="E134">
            <v>2028458449</v>
          </cell>
          <cell r="F134">
            <v>2818659238.99999</v>
          </cell>
          <cell r="G134">
            <v>2717269399.99999</v>
          </cell>
          <cell r="H134">
            <v>-101389838.999999</v>
          </cell>
          <cell r="I134">
            <v>2834102270.60151</v>
          </cell>
          <cell r="J134">
            <v>-156138233.08640301</v>
          </cell>
          <cell r="K134">
            <v>562176551.29999995</v>
          </cell>
          <cell r="L134">
            <v>1.632493051</v>
          </cell>
          <cell r="M134">
            <v>27734538</v>
          </cell>
          <cell r="N134">
            <v>2.84309999999999</v>
          </cell>
          <cell r="O134">
            <v>35494.29</v>
          </cell>
          <cell r="P134">
            <v>30.61</v>
          </cell>
          <cell r="Q134">
            <v>69.306750843060897</v>
          </cell>
          <cell r="R134">
            <v>3.9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15832204.9417904</v>
          </cell>
          <cell r="Z134">
            <v>-53220792.316608503</v>
          </cell>
          <cell r="AA134">
            <v>-8461783.1611657999</v>
          </cell>
          <cell r="AB134">
            <v>-120003598.02861699</v>
          </cell>
          <cell r="AC134">
            <v>26399072.991680399</v>
          </cell>
          <cell r="AD134">
            <v>3686426.6959758098</v>
          </cell>
          <cell r="AE134">
            <v>-10361312.1840796</v>
          </cell>
          <cell r="AF134">
            <v>-1690731.9089017101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-147820512.969926</v>
          </cell>
          <cell r="AN134">
            <v>-147178955.240336</v>
          </cell>
          <cell r="AO134">
            <v>45789116.240337104</v>
          </cell>
          <cell r="AP134">
            <v>0</v>
          </cell>
          <cell r="AQ134">
            <v>-101389838.999999</v>
          </cell>
        </row>
        <row r="135">
          <cell r="A135" t="str">
            <v>1_10_2010</v>
          </cell>
          <cell r="B135">
            <v>1</v>
          </cell>
          <cell r="C135">
            <v>10</v>
          </cell>
          <cell r="D135">
            <v>2010</v>
          </cell>
          <cell r="E135">
            <v>2028458449</v>
          </cell>
          <cell r="F135">
            <v>2717269399.99999</v>
          </cell>
          <cell r="G135">
            <v>2812782058</v>
          </cell>
          <cell r="H135">
            <v>95512658.000002801</v>
          </cell>
          <cell r="I135">
            <v>2853913440.1732202</v>
          </cell>
          <cell r="J135">
            <v>19811169.571706198</v>
          </cell>
          <cell r="K135">
            <v>552453534.09999895</v>
          </cell>
          <cell r="L135">
            <v>1.6339541179999999</v>
          </cell>
          <cell r="M135">
            <v>27553600.749999899</v>
          </cell>
          <cell r="N135">
            <v>3.2889999999999899</v>
          </cell>
          <cell r="O135">
            <v>35213</v>
          </cell>
          <cell r="P135">
            <v>30.93</v>
          </cell>
          <cell r="Q135">
            <v>69.408651159993099</v>
          </cell>
          <cell r="R135">
            <v>3.9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-39197040.742653303</v>
          </cell>
          <cell r="Z135">
            <v>-890835.88720173598</v>
          </cell>
          <cell r="AA135">
            <v>-6691010.2682892</v>
          </cell>
          <cell r="AB135">
            <v>53068334.999789797</v>
          </cell>
          <cell r="AC135">
            <v>5957743.78815261</v>
          </cell>
          <cell r="AD135">
            <v>5988062.8213984501</v>
          </cell>
          <cell r="AE135">
            <v>1512091.33969012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19747346.050886601</v>
          </cell>
          <cell r="AN135">
            <v>18994475.045525499</v>
          </cell>
          <cell r="AO135">
            <v>76518182.954477295</v>
          </cell>
          <cell r="AP135">
            <v>0</v>
          </cell>
          <cell r="AQ135">
            <v>95512658.000002801</v>
          </cell>
        </row>
        <row r="136">
          <cell r="A136" t="str">
            <v>1_10_2011</v>
          </cell>
          <cell r="B136">
            <v>1</v>
          </cell>
          <cell r="C136">
            <v>10</v>
          </cell>
          <cell r="D136">
            <v>2011</v>
          </cell>
          <cell r="E136">
            <v>2028458449</v>
          </cell>
          <cell r="F136">
            <v>2812782058</v>
          </cell>
          <cell r="G136">
            <v>2875478446.99999</v>
          </cell>
          <cell r="H136">
            <v>62696388.999994203</v>
          </cell>
          <cell r="I136">
            <v>2846805287.2789001</v>
          </cell>
          <cell r="J136">
            <v>-7108152.8943176204</v>
          </cell>
          <cell r="K136">
            <v>542784230.60000002</v>
          </cell>
          <cell r="L136">
            <v>1.7383207569999899</v>
          </cell>
          <cell r="M136">
            <v>27682634.670000002</v>
          </cell>
          <cell r="N136">
            <v>4.0655999999999999</v>
          </cell>
          <cell r="O136">
            <v>34147.68</v>
          </cell>
          <cell r="P136">
            <v>31.299999999999901</v>
          </cell>
          <cell r="Q136">
            <v>68.613917826660796</v>
          </cell>
          <cell r="R136">
            <v>3.9</v>
          </cell>
          <cell r="S136">
            <v>0</v>
          </cell>
          <cell r="T136">
            <v>0</v>
          </cell>
          <cell r="U136">
            <v>1</v>
          </cell>
          <cell r="V136">
            <v>0</v>
          </cell>
          <cell r="W136">
            <v>0</v>
          </cell>
          <cell r="X136">
            <v>0</v>
          </cell>
          <cell r="Y136">
            <v>-41061554.447485402</v>
          </cell>
          <cell r="Z136">
            <v>-63855900.222106002</v>
          </cell>
          <cell r="AA136">
            <v>4954451.5075051403</v>
          </cell>
          <cell r="AB136">
            <v>83698405.844004095</v>
          </cell>
          <cell r="AC136">
            <v>23886656.156407502</v>
          </cell>
          <cell r="AD136">
            <v>7168300.3871048205</v>
          </cell>
          <cell r="AE136">
            <v>-12177683.342327399</v>
          </cell>
          <cell r="AF136">
            <v>0</v>
          </cell>
          <cell r="AG136">
            <v>0</v>
          </cell>
          <cell r="AH136">
            <v>0</v>
          </cell>
          <cell r="AI136">
            <v>-7217308.8633497404</v>
          </cell>
          <cell r="AJ136">
            <v>0</v>
          </cell>
          <cell r="AK136">
            <v>0</v>
          </cell>
          <cell r="AL136">
            <v>0</v>
          </cell>
          <cell r="AM136">
            <v>-4604632.9802470198</v>
          </cell>
          <cell r="AN136">
            <v>-7005708.24791505</v>
          </cell>
          <cell r="AO136">
            <v>69702097.247909293</v>
          </cell>
          <cell r="AP136">
            <v>0</v>
          </cell>
          <cell r="AQ136">
            <v>62696388.999994203</v>
          </cell>
        </row>
        <row r="137">
          <cell r="A137" t="str">
            <v>1_10_2012</v>
          </cell>
          <cell r="B137">
            <v>1</v>
          </cell>
          <cell r="C137">
            <v>10</v>
          </cell>
          <cell r="D137">
            <v>2012</v>
          </cell>
          <cell r="E137">
            <v>2028458449</v>
          </cell>
          <cell r="F137">
            <v>2875478446.99999</v>
          </cell>
          <cell r="G137">
            <v>2926682201</v>
          </cell>
          <cell r="H137">
            <v>51203754.0000076</v>
          </cell>
          <cell r="I137">
            <v>2877819867.2544699</v>
          </cell>
          <cell r="J137">
            <v>31014579.975573499</v>
          </cell>
          <cell r="K137">
            <v>541132314.10000002</v>
          </cell>
          <cell r="L137">
            <v>1.69722137399999</v>
          </cell>
          <cell r="M137">
            <v>27909105.420000002</v>
          </cell>
          <cell r="N137">
            <v>4.1093000000000002</v>
          </cell>
          <cell r="O137">
            <v>33963.31</v>
          </cell>
          <cell r="P137">
            <v>31.51</v>
          </cell>
          <cell r="Q137">
            <v>68.630248062319694</v>
          </cell>
          <cell r="R137">
            <v>4.0999999999999996</v>
          </cell>
          <cell r="S137">
            <v>0</v>
          </cell>
          <cell r="T137">
            <v>0</v>
          </cell>
          <cell r="U137">
            <v>2</v>
          </cell>
          <cell r="V137">
            <v>0</v>
          </cell>
          <cell r="W137">
            <v>0</v>
          </cell>
          <cell r="X137">
            <v>0</v>
          </cell>
          <cell r="Y137">
            <v>-7290246.7482622098</v>
          </cell>
          <cell r="Z137">
            <v>25812893.0392332</v>
          </cell>
          <cell r="AA137">
            <v>8838481.4876635391</v>
          </cell>
          <cell r="AB137">
            <v>4355301.0171749201</v>
          </cell>
          <cell r="AC137">
            <v>4288332.7220075401</v>
          </cell>
          <cell r="AD137">
            <v>4156891.7944016499</v>
          </cell>
          <cell r="AE137">
            <v>256372.18967900399</v>
          </cell>
          <cell r="AF137">
            <v>-1724814.0876464599</v>
          </cell>
          <cell r="AG137">
            <v>0</v>
          </cell>
          <cell r="AH137">
            <v>0</v>
          </cell>
          <cell r="AI137">
            <v>-7378181.3357628398</v>
          </cell>
          <cell r="AJ137">
            <v>0</v>
          </cell>
          <cell r="AK137">
            <v>0</v>
          </cell>
          <cell r="AL137">
            <v>0</v>
          </cell>
          <cell r="AM137">
            <v>31315030.078488398</v>
          </cell>
          <cell r="AN137">
            <v>31326960.316194698</v>
          </cell>
          <cell r="AO137">
            <v>19876793.683812901</v>
          </cell>
          <cell r="AP137">
            <v>0</v>
          </cell>
          <cell r="AQ137">
            <v>51203754.0000076</v>
          </cell>
        </row>
        <row r="138">
          <cell r="A138" t="str">
            <v>1_10_2013</v>
          </cell>
          <cell r="B138">
            <v>1</v>
          </cell>
          <cell r="C138">
            <v>10</v>
          </cell>
          <cell r="D138">
            <v>2013</v>
          </cell>
          <cell r="E138">
            <v>2028458449</v>
          </cell>
          <cell r="F138">
            <v>2926682201</v>
          </cell>
          <cell r="G138">
            <v>3025842522</v>
          </cell>
          <cell r="H138">
            <v>99160321.000001401</v>
          </cell>
          <cell r="I138">
            <v>2884387243.9618902</v>
          </cell>
          <cell r="J138">
            <v>6567376.70741319</v>
          </cell>
          <cell r="K138">
            <v>553170967.49999905</v>
          </cell>
          <cell r="L138">
            <v>1.7585519999999999</v>
          </cell>
          <cell r="M138">
            <v>28818049.079999998</v>
          </cell>
          <cell r="N138">
            <v>3.9420000000000002</v>
          </cell>
          <cell r="O138">
            <v>33700.32</v>
          </cell>
          <cell r="P138">
            <v>29.93</v>
          </cell>
          <cell r="Q138">
            <v>66.429372522682499</v>
          </cell>
          <cell r="R138">
            <v>4.2</v>
          </cell>
          <cell r="S138">
            <v>0</v>
          </cell>
          <cell r="T138">
            <v>0</v>
          </cell>
          <cell r="U138">
            <v>3</v>
          </cell>
          <cell r="V138">
            <v>0</v>
          </cell>
          <cell r="W138">
            <v>1</v>
          </cell>
          <cell r="X138">
            <v>0</v>
          </cell>
          <cell r="Y138">
            <v>54126417.830306403</v>
          </cell>
          <cell r="Z138">
            <v>-38629289.1036999</v>
          </cell>
          <cell r="AA138">
            <v>35545074.6654054</v>
          </cell>
          <cell r="AB138">
            <v>-17117551.3265986</v>
          </cell>
          <cell r="AC138">
            <v>6269125.0321620097</v>
          </cell>
          <cell r="AD138">
            <v>-31637360.036947198</v>
          </cell>
          <cell r="AE138">
            <v>-34955337.403115399</v>
          </cell>
          <cell r="AF138">
            <v>-877895.62682281702</v>
          </cell>
          <cell r="AG138">
            <v>0</v>
          </cell>
          <cell r="AH138">
            <v>0</v>
          </cell>
          <cell r="AI138">
            <v>-7509564.8912466196</v>
          </cell>
          <cell r="AJ138">
            <v>0</v>
          </cell>
          <cell r="AK138">
            <v>43188365.8323512</v>
          </cell>
          <cell r="AL138">
            <v>0</v>
          </cell>
          <cell r="AM138">
            <v>8401984.97179446</v>
          </cell>
          <cell r="AN138">
            <v>6678883.8090774901</v>
          </cell>
          <cell r="AO138">
            <v>92481437.190923899</v>
          </cell>
          <cell r="AP138">
            <v>0</v>
          </cell>
          <cell r="AQ138">
            <v>99160321.000001401</v>
          </cell>
        </row>
        <row r="139">
          <cell r="A139" t="str">
            <v>1_10_2014</v>
          </cell>
          <cell r="B139">
            <v>1</v>
          </cell>
          <cell r="C139">
            <v>10</v>
          </cell>
          <cell r="D139">
            <v>2014</v>
          </cell>
          <cell r="E139">
            <v>2028458449</v>
          </cell>
          <cell r="F139">
            <v>3025842522</v>
          </cell>
          <cell r="G139">
            <v>3134495495.99999</v>
          </cell>
          <cell r="H139">
            <v>108652973.99999399</v>
          </cell>
          <cell r="I139">
            <v>2914305538.95399</v>
          </cell>
          <cell r="J139">
            <v>29918294.992097799</v>
          </cell>
          <cell r="K139">
            <v>560050466.89999998</v>
          </cell>
          <cell r="L139">
            <v>1.7493823119999901</v>
          </cell>
          <cell r="M139">
            <v>29110612.079999998</v>
          </cell>
          <cell r="N139">
            <v>3.75239999999999</v>
          </cell>
          <cell r="O139">
            <v>33580.799999999901</v>
          </cell>
          <cell r="P139">
            <v>30.2</v>
          </cell>
          <cell r="Q139">
            <v>66.590503712184997</v>
          </cell>
          <cell r="R139">
            <v>4.2</v>
          </cell>
          <cell r="S139">
            <v>0</v>
          </cell>
          <cell r="T139">
            <v>0</v>
          </cell>
          <cell r="U139">
            <v>4</v>
          </cell>
          <cell r="V139">
            <v>0</v>
          </cell>
          <cell r="W139">
            <v>1</v>
          </cell>
          <cell r="X139">
            <v>0</v>
          </cell>
          <cell r="Y139">
            <v>31307972.369254898</v>
          </cell>
          <cell r="Z139">
            <v>5959689.9519643504</v>
          </cell>
          <cell r="AA139">
            <v>11534507.697329201</v>
          </cell>
          <cell r="AB139">
            <v>-20784932.147259299</v>
          </cell>
          <cell r="AC139">
            <v>2960649.3131695702</v>
          </cell>
          <cell r="AD139">
            <v>5625213.9392718803</v>
          </cell>
          <cell r="AE139">
            <v>2662968.0443284102</v>
          </cell>
          <cell r="AF139">
            <v>0</v>
          </cell>
          <cell r="AG139">
            <v>0</v>
          </cell>
          <cell r="AH139">
            <v>0</v>
          </cell>
          <cell r="AI139">
            <v>-7764000.0550412899</v>
          </cell>
          <cell r="AJ139">
            <v>0</v>
          </cell>
          <cell r="AK139">
            <v>0</v>
          </cell>
          <cell r="AL139">
            <v>0</v>
          </cell>
          <cell r="AM139">
            <v>31502069.113017701</v>
          </cell>
          <cell r="AN139">
            <v>31385539.289961301</v>
          </cell>
          <cell r="AO139">
            <v>77267434.710032895</v>
          </cell>
          <cell r="AP139">
            <v>0</v>
          </cell>
          <cell r="AQ139">
            <v>108652973.99999399</v>
          </cell>
        </row>
        <row r="140">
          <cell r="A140" t="str">
            <v>1_10_2015</v>
          </cell>
          <cell r="B140">
            <v>1</v>
          </cell>
          <cell r="C140">
            <v>10</v>
          </cell>
          <cell r="D140">
            <v>2015</v>
          </cell>
          <cell r="E140">
            <v>2028458449</v>
          </cell>
          <cell r="F140">
            <v>3134495495.99999</v>
          </cell>
          <cell r="G140">
            <v>3047199073.99999</v>
          </cell>
          <cell r="H140">
            <v>-87296422.000000894</v>
          </cell>
          <cell r="I140">
            <v>2708321681.4166498</v>
          </cell>
          <cell r="J140">
            <v>-205983857.53733501</v>
          </cell>
          <cell r="K140">
            <v>561246899.20000005</v>
          </cell>
          <cell r="L140">
            <v>1.8849589099999999</v>
          </cell>
          <cell r="M140">
            <v>29378317.829999901</v>
          </cell>
          <cell r="N140">
            <v>2.7029999999999998</v>
          </cell>
          <cell r="O140">
            <v>34173.339999999902</v>
          </cell>
          <cell r="P140">
            <v>30.17</v>
          </cell>
          <cell r="Q140">
            <v>66.804748020605103</v>
          </cell>
          <cell r="R140">
            <v>4.0999999999999996</v>
          </cell>
          <cell r="S140">
            <v>0</v>
          </cell>
          <cell r="T140">
            <v>0</v>
          </cell>
          <cell r="U140">
            <v>5</v>
          </cell>
          <cell r="V140">
            <v>0</v>
          </cell>
          <cell r="W140">
            <v>1</v>
          </cell>
          <cell r="X140">
            <v>0</v>
          </cell>
          <cell r="Y140">
            <v>5575858.9775249297</v>
          </cell>
          <cell r="Z140">
            <v>-87905229.998229101</v>
          </cell>
          <cell r="AA140">
            <v>10826806.1323185</v>
          </cell>
          <cell r="AB140">
            <v>-134813565.73212001</v>
          </cell>
          <cell r="AC140">
            <v>-15055528.1189496</v>
          </cell>
          <cell r="AD140">
            <v>-646799.49859826604</v>
          </cell>
          <cell r="AE140">
            <v>3668427.4977157698</v>
          </cell>
          <cell r="AF140">
            <v>940513.99240212201</v>
          </cell>
          <cell r="AG140">
            <v>0</v>
          </cell>
          <cell r="AH140">
            <v>0</v>
          </cell>
          <cell r="AI140">
            <v>-8042792.38808008</v>
          </cell>
          <cell r="AJ140">
            <v>0</v>
          </cell>
          <cell r="AK140">
            <v>0</v>
          </cell>
          <cell r="AL140">
            <v>0</v>
          </cell>
          <cell r="AM140">
            <v>-225452309.13601601</v>
          </cell>
          <cell r="AN140">
            <v>-221546939.76638499</v>
          </cell>
          <cell r="AO140">
            <v>134250517.76638401</v>
          </cell>
          <cell r="AP140">
            <v>0</v>
          </cell>
          <cell r="AQ140">
            <v>-87296422.000000894</v>
          </cell>
        </row>
        <row r="141">
          <cell r="A141" t="str">
            <v>1_10_2016</v>
          </cell>
          <cell r="B141">
            <v>1</v>
          </cell>
          <cell r="C141">
            <v>10</v>
          </cell>
          <cell r="D141">
            <v>2016</v>
          </cell>
          <cell r="E141">
            <v>2028458449</v>
          </cell>
          <cell r="F141">
            <v>3047199073.99999</v>
          </cell>
          <cell r="G141">
            <v>3069648696.99999</v>
          </cell>
          <cell r="H141">
            <v>22449622.999998499</v>
          </cell>
          <cell r="I141">
            <v>2631949093.8491502</v>
          </cell>
          <cell r="J141">
            <v>-76372587.5675015</v>
          </cell>
          <cell r="K141">
            <v>560737093.89999998</v>
          </cell>
          <cell r="L141">
            <v>1.8947735489999999</v>
          </cell>
          <cell r="M141">
            <v>29437697.499999899</v>
          </cell>
          <cell r="N141">
            <v>2.4255</v>
          </cell>
          <cell r="O141">
            <v>35302.049999999901</v>
          </cell>
          <cell r="P141">
            <v>29.88</v>
          </cell>
          <cell r="Q141">
            <v>67.140437302771304</v>
          </cell>
          <cell r="R141">
            <v>4.5</v>
          </cell>
          <cell r="S141">
            <v>0</v>
          </cell>
          <cell r="T141">
            <v>0</v>
          </cell>
          <cell r="U141">
            <v>6</v>
          </cell>
          <cell r="V141">
            <v>0</v>
          </cell>
          <cell r="W141">
            <v>1</v>
          </cell>
          <cell r="X141">
            <v>0</v>
          </cell>
          <cell r="Y141">
            <v>-2305392.38435004</v>
          </cell>
          <cell r="Z141">
            <v>-6109643.7763452101</v>
          </cell>
          <cell r="AA141">
            <v>2318488.8358360901</v>
          </cell>
          <cell r="AB141">
            <v>-41536861.136041299</v>
          </cell>
          <cell r="AC141">
            <v>-27135034.1116657</v>
          </cell>
          <cell r="AD141">
            <v>-6072832.3199947895</v>
          </cell>
          <cell r="AE141">
            <v>5589658.9358587097</v>
          </cell>
          <cell r="AF141">
            <v>-3654540.0455874898</v>
          </cell>
          <cell r="AG141">
            <v>0</v>
          </cell>
          <cell r="AH141">
            <v>0</v>
          </cell>
          <cell r="AI141">
            <v>-7818798.7663746998</v>
          </cell>
          <cell r="AJ141">
            <v>0</v>
          </cell>
          <cell r="AK141">
            <v>0</v>
          </cell>
          <cell r="AL141">
            <v>0</v>
          </cell>
          <cell r="AM141">
            <v>-86724954.768664405</v>
          </cell>
          <cell r="AN141">
            <v>-85928669.297859401</v>
          </cell>
          <cell r="AO141">
            <v>108378292.297857</v>
          </cell>
          <cell r="AP141">
            <v>0</v>
          </cell>
          <cell r="AQ141">
            <v>22449622.999998499</v>
          </cell>
        </row>
        <row r="142">
          <cell r="A142" t="str">
            <v>1_10_2017</v>
          </cell>
          <cell r="B142">
            <v>1</v>
          </cell>
          <cell r="C142">
            <v>10</v>
          </cell>
          <cell r="D142">
            <v>2017</v>
          </cell>
          <cell r="E142">
            <v>2028458449</v>
          </cell>
          <cell r="F142">
            <v>3069648696.99999</v>
          </cell>
          <cell r="G142">
            <v>3090688329.99999</v>
          </cell>
          <cell r="H142">
            <v>21039632.999999002</v>
          </cell>
          <cell r="I142">
            <v>2669730021.9110999</v>
          </cell>
          <cell r="J142">
            <v>37780928.061953001</v>
          </cell>
          <cell r="K142">
            <v>563993926.60000002</v>
          </cell>
          <cell r="L142">
            <v>1.8987041730000001</v>
          </cell>
          <cell r="M142">
            <v>29668394.669999901</v>
          </cell>
          <cell r="N142">
            <v>2.6928000000000001</v>
          </cell>
          <cell r="O142">
            <v>35945.819999999898</v>
          </cell>
          <cell r="P142">
            <v>30</v>
          </cell>
          <cell r="Q142">
            <v>67.2815187691711</v>
          </cell>
          <cell r="R142">
            <v>4.5</v>
          </cell>
          <cell r="S142">
            <v>0</v>
          </cell>
          <cell r="T142">
            <v>0</v>
          </cell>
          <cell r="U142">
            <v>7</v>
          </cell>
          <cell r="V142">
            <v>0</v>
          </cell>
          <cell r="W142">
            <v>1</v>
          </cell>
          <cell r="X142">
            <v>0</v>
          </cell>
          <cell r="Y142">
            <v>14841407.460284401</v>
          </cell>
          <cell r="Z142">
            <v>-2460484.2230364601</v>
          </cell>
          <cell r="AA142">
            <v>9039330.1367926691</v>
          </cell>
          <cell r="AB142">
            <v>40909010.8564815</v>
          </cell>
          <cell r="AC142">
            <v>-15232133.6354282</v>
          </cell>
          <cell r="AD142">
            <v>2534981.3394833398</v>
          </cell>
          <cell r="AE142">
            <v>2365238.2230973798</v>
          </cell>
          <cell r="AF142">
            <v>0</v>
          </cell>
          <cell r="AG142">
            <v>0</v>
          </cell>
          <cell r="AH142">
            <v>0</v>
          </cell>
          <cell r="AI142">
            <v>-7876402.1852374999</v>
          </cell>
          <cell r="AJ142">
            <v>0</v>
          </cell>
          <cell r="AK142">
            <v>0</v>
          </cell>
          <cell r="AL142">
            <v>0</v>
          </cell>
          <cell r="AM142">
            <v>44120947.972437099</v>
          </cell>
          <cell r="AN142">
            <v>44063989.2571842</v>
          </cell>
          <cell r="AO142">
            <v>-23024356.257185198</v>
          </cell>
          <cell r="AP142">
            <v>0</v>
          </cell>
          <cell r="AQ142">
            <v>21039632.999999002</v>
          </cell>
        </row>
        <row r="143">
          <cell r="A143" t="str">
            <v>1_10_2018</v>
          </cell>
          <cell r="B143">
            <v>1</v>
          </cell>
          <cell r="C143">
            <v>10</v>
          </cell>
          <cell r="D143">
            <v>2018</v>
          </cell>
          <cell r="E143">
            <v>2028458449</v>
          </cell>
          <cell r="F143">
            <v>3090688329.99999</v>
          </cell>
          <cell r="G143">
            <v>3025899128.99999</v>
          </cell>
          <cell r="H143">
            <v>-64789200.999997102</v>
          </cell>
          <cell r="I143">
            <v>2507008492.8472099</v>
          </cell>
          <cell r="J143">
            <v>-162721529.063887</v>
          </cell>
          <cell r="K143">
            <v>559394026.10000002</v>
          </cell>
          <cell r="L143">
            <v>1.956607269</v>
          </cell>
          <cell r="M143">
            <v>29807700.839999899</v>
          </cell>
          <cell r="N143">
            <v>2.9199999999999902</v>
          </cell>
          <cell r="O143">
            <v>36801.5</v>
          </cell>
          <cell r="P143">
            <v>30.01</v>
          </cell>
          <cell r="Q143">
            <v>67.468769080655605</v>
          </cell>
          <cell r="R143">
            <v>4.5999999999999996</v>
          </cell>
          <cell r="S143">
            <v>0</v>
          </cell>
          <cell r="T143">
            <v>0</v>
          </cell>
          <cell r="U143">
            <v>8</v>
          </cell>
          <cell r="V143">
            <v>0</v>
          </cell>
          <cell r="W143">
            <v>1</v>
          </cell>
          <cell r="X143">
            <v>1</v>
          </cell>
          <cell r="Y143">
            <v>-21008099.596901398</v>
          </cell>
          <cell r="Z143">
            <v>-35914460.716077901</v>
          </cell>
          <cell r="AA143">
            <v>5458380.5545524703</v>
          </cell>
          <cell r="AB143">
            <v>32685860.714103401</v>
          </cell>
          <cell r="AC143">
            <v>-19950123.042967599</v>
          </cell>
          <cell r="AD143">
            <v>212615.896320723</v>
          </cell>
          <cell r="AE143">
            <v>3161176.5413591899</v>
          </cell>
          <cell r="AF143">
            <v>-927091.35547830095</v>
          </cell>
          <cell r="AG143">
            <v>0</v>
          </cell>
          <cell r="AH143">
            <v>0</v>
          </cell>
          <cell r="AI143">
            <v>-7930387.7150799697</v>
          </cell>
          <cell r="AJ143">
            <v>0</v>
          </cell>
          <cell r="AK143">
            <v>0</v>
          </cell>
          <cell r="AL143">
            <v>-146053671.23690099</v>
          </cell>
          <cell r="AM143">
            <v>-190265799.95707101</v>
          </cell>
          <cell r="AN143">
            <v>-188379171.972415</v>
          </cell>
          <cell r="AO143">
            <v>123589970.972418</v>
          </cell>
          <cell r="AP143">
            <v>0</v>
          </cell>
          <cell r="AQ143">
            <v>-64789200.999997102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4:AD35"/>
  <sheetViews>
    <sheetView tabSelected="1" workbookViewId="0">
      <selection activeCell="AJ26" sqref="AJ26"/>
    </sheetView>
  </sheetViews>
  <sheetFormatPr defaultRowHeight="15" x14ac:dyDescent="0.25"/>
  <cols>
    <col min="2" max="2" width="29.5703125" customWidth="1"/>
    <col min="4" max="4" width="0" hidden="1" customWidth="1"/>
    <col min="5" max="5" width="10.28515625" customWidth="1"/>
    <col min="6" max="6" width="0" hidden="1" customWidth="1"/>
    <col min="7" max="7" width="10.5703125" customWidth="1"/>
    <col min="8" max="8" width="11.28515625" customWidth="1"/>
    <col min="10" max="29" width="0" hidden="1" customWidth="1"/>
    <col min="30" max="30" width="16.140625" customWidth="1"/>
  </cols>
  <sheetData>
    <row r="4" spans="2:30" x14ac:dyDescent="0.25">
      <c r="B4" s="7" t="s">
        <v>0</v>
      </c>
      <c r="C4" s="8">
        <v>2002</v>
      </c>
      <c r="D4" s="8"/>
      <c r="E4" s="8"/>
      <c r="F4" s="8"/>
      <c r="G4" s="8"/>
      <c r="H4" s="8"/>
      <c r="I4" s="9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</row>
    <row r="5" spans="2:30" x14ac:dyDescent="0.25">
      <c r="B5" s="7" t="s">
        <v>1</v>
      </c>
      <c r="C5" s="8">
        <v>2018</v>
      </c>
      <c r="D5" s="8"/>
      <c r="E5" s="8"/>
      <c r="F5" s="8"/>
      <c r="G5" s="8"/>
      <c r="H5" s="8"/>
      <c r="I5" s="9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</row>
    <row r="6" spans="2:30" x14ac:dyDescent="0.25">
      <c r="B6" s="10" t="s">
        <v>2</v>
      </c>
      <c r="C6" s="8"/>
      <c r="D6" s="8"/>
      <c r="E6" s="8"/>
      <c r="F6" s="8"/>
      <c r="G6" s="8"/>
      <c r="H6" s="8"/>
      <c r="I6" s="9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</row>
    <row r="7" spans="2:30" x14ac:dyDescent="0.25">
      <c r="B7" s="7" t="s">
        <v>3</v>
      </c>
      <c r="C7" s="11" t="s">
        <v>4</v>
      </c>
      <c r="D7" s="8"/>
      <c r="E7" s="8"/>
      <c r="F7" s="8"/>
      <c r="G7" s="8"/>
      <c r="H7" s="8"/>
      <c r="I7" s="9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</row>
    <row r="8" spans="2:30" hidden="1" x14ac:dyDescent="0.25">
      <c r="B8" s="7"/>
      <c r="C8" s="11"/>
      <c r="D8" s="8"/>
      <c r="E8" s="8"/>
      <c r="F8" s="8"/>
      <c r="G8" s="8"/>
      <c r="H8" s="8"/>
      <c r="I8" s="9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</row>
    <row r="9" spans="2:30" ht="15.75" thickBot="1" x14ac:dyDescent="0.3">
      <c r="B9" s="10" t="s">
        <v>47</v>
      </c>
      <c r="C9" s="12"/>
      <c r="D9" s="8"/>
      <c r="E9" s="8"/>
      <c r="F9" s="8"/>
      <c r="G9" s="8"/>
      <c r="H9" s="8"/>
      <c r="I9" s="9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</row>
    <row r="10" spans="2:30" ht="15.75" thickTop="1" x14ac:dyDescent="0.25">
      <c r="B10" s="13"/>
      <c r="C10" s="14"/>
      <c r="D10" s="14"/>
      <c r="E10" s="14"/>
      <c r="F10" s="14"/>
      <c r="G10" s="15" t="s">
        <v>5</v>
      </c>
      <c r="H10" s="15"/>
      <c r="I10" s="15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5" t="s">
        <v>6</v>
      </c>
      <c r="AD10" s="15"/>
    </row>
    <row r="11" spans="2:30" x14ac:dyDescent="0.25">
      <c r="B11" s="17" t="s">
        <v>7</v>
      </c>
      <c r="C11" s="18" t="s">
        <v>8</v>
      </c>
      <c r="D11" s="19" t="s">
        <v>9</v>
      </c>
      <c r="E11" s="19" t="s">
        <v>10</v>
      </c>
      <c r="F11" s="19"/>
      <c r="G11" s="18" t="e">
        <f>#REF!</f>
        <v>#REF!</v>
      </c>
      <c r="H11" s="18" t="e">
        <f>#REF!</f>
        <v>#REF!</v>
      </c>
      <c r="I11" s="18" t="s">
        <v>11</v>
      </c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 t="s">
        <v>12</v>
      </c>
      <c r="AD11" s="18" t="s">
        <v>11</v>
      </c>
    </row>
    <row r="12" spans="2:30" hidden="1" x14ac:dyDescent="0.25">
      <c r="B12" s="7"/>
      <c r="C12" s="9"/>
      <c r="D12" s="8"/>
      <c r="E12" s="8"/>
      <c r="F12" s="8"/>
      <c r="G12" s="8"/>
      <c r="H12" s="8"/>
      <c r="I12" s="9"/>
      <c r="J12" s="8"/>
      <c r="K12" s="8"/>
      <c r="L12" s="8"/>
      <c r="M12" s="8">
        <v>1</v>
      </c>
      <c r="N12" s="8">
        <v>2</v>
      </c>
      <c r="O12" s="8">
        <v>3</v>
      </c>
      <c r="P12" s="8">
        <v>4</v>
      </c>
      <c r="Q12" s="8">
        <v>5</v>
      </c>
      <c r="R12" s="8">
        <v>6</v>
      </c>
      <c r="S12" s="8">
        <v>7</v>
      </c>
      <c r="T12" s="8">
        <v>8</v>
      </c>
      <c r="U12" s="8">
        <v>9</v>
      </c>
      <c r="V12" s="8">
        <v>10</v>
      </c>
      <c r="W12" s="8">
        <v>11</v>
      </c>
      <c r="X12" s="8">
        <v>12</v>
      </c>
      <c r="Y12" s="8">
        <v>13</v>
      </c>
      <c r="Z12" s="8">
        <v>14</v>
      </c>
      <c r="AA12" s="8">
        <v>15</v>
      </c>
      <c r="AB12" s="8">
        <v>16</v>
      </c>
      <c r="AC12" s="8"/>
      <c r="AD12" s="8"/>
    </row>
    <row r="13" spans="2:30" hidden="1" x14ac:dyDescent="0.25">
      <c r="B13" s="7"/>
      <c r="C13" s="9"/>
      <c r="D13" s="8"/>
      <c r="E13" s="8"/>
      <c r="F13" s="8"/>
      <c r="G13" s="8" t="e">
        <f>CONCATENATE(#REF!,"_",#REF!,"_",G11)</f>
        <v>#REF!</v>
      </c>
      <c r="H13" s="8" t="e">
        <f>CONCATENATE(#REF!,"_",#REF!,"_",H11)</f>
        <v>#REF!</v>
      </c>
      <c r="I13" s="9"/>
      <c r="J13" s="8"/>
      <c r="K13" s="8"/>
      <c r="L13" s="8"/>
      <c r="M13" s="8" t="e">
        <f>IF(#REF!+M12&gt;$A11,0,CONCATENATE(#REF!,"_",#REF!,"_",#REF!+M12))</f>
        <v>#REF!</v>
      </c>
      <c r="N13" s="8" t="e">
        <f>IF(#REF!+N12&gt;$A11,0,CONCATENATE(#REF!,"_",#REF!,"_",#REF!+N12))</f>
        <v>#REF!</v>
      </c>
      <c r="O13" s="8" t="e">
        <f>IF(#REF!+O12&gt;$A11,0,CONCATENATE(#REF!,"_",#REF!,"_",#REF!+O12))</f>
        <v>#REF!</v>
      </c>
      <c r="P13" s="8" t="e">
        <f>IF(#REF!+P12&gt;$A11,0,CONCATENATE(#REF!,"_",#REF!,"_",#REF!+P12))</f>
        <v>#REF!</v>
      </c>
      <c r="Q13" s="8" t="e">
        <f>IF(#REF!+Q12&gt;$A11,0,CONCATENATE(#REF!,"_",#REF!,"_",#REF!+Q12))</f>
        <v>#REF!</v>
      </c>
      <c r="R13" s="8" t="e">
        <f>IF(#REF!+R12&gt;$A11,0,CONCATENATE(#REF!,"_",#REF!,"_",#REF!+R12))</f>
        <v>#REF!</v>
      </c>
      <c r="S13" s="8" t="e">
        <f>IF(#REF!+S12&gt;$A11,0,CONCATENATE(#REF!,"_",#REF!,"_",#REF!+S12))</f>
        <v>#REF!</v>
      </c>
      <c r="T13" s="8" t="e">
        <f>IF(#REF!+T12&gt;$A11,0,CONCATENATE(#REF!,"_",#REF!,"_",#REF!+T12))</f>
        <v>#REF!</v>
      </c>
      <c r="U13" s="8" t="e">
        <f>IF(#REF!+U12&gt;$A11,0,CONCATENATE(#REF!,"_",#REF!,"_",#REF!+U12))</f>
        <v>#REF!</v>
      </c>
      <c r="V13" s="8" t="e">
        <f>IF(#REF!+V12&gt;$A11,0,CONCATENATE(#REF!,"_",#REF!,"_",#REF!+V12))</f>
        <v>#REF!</v>
      </c>
      <c r="W13" s="8" t="e">
        <f>IF(#REF!+W12&gt;$A11,0,CONCATENATE(#REF!,"_",#REF!,"_",#REF!+W12))</f>
        <v>#REF!</v>
      </c>
      <c r="X13" s="8" t="e">
        <f>IF(#REF!+X12&gt;$A11,0,CONCATENATE(#REF!,"_",#REF!,"_",#REF!+X12))</f>
        <v>#REF!</v>
      </c>
      <c r="Y13" s="8" t="e">
        <f>IF(#REF!+Y12&gt;$A11,0,CONCATENATE(#REF!,"_",#REF!,"_",#REF!+Y12))</f>
        <v>#REF!</v>
      </c>
      <c r="Z13" s="8" t="e">
        <f>IF(#REF!+Z12&gt;$A11,0,CONCATENATE(#REF!,"_",#REF!,"_",#REF!+Z12))</f>
        <v>#REF!</v>
      </c>
      <c r="AA13" s="8" t="e">
        <f>IF(#REF!+AA12&gt;$A11,0,CONCATENATE(#REF!,"_",#REF!,"_",#REF!+AA12))</f>
        <v>#REF!</v>
      </c>
      <c r="AB13" s="8" t="e">
        <f>IF(#REF!+AB12&gt;$A11,0,CONCATENATE(#REF!,"_",#REF!,"_",#REF!+AB12))</f>
        <v>#REF!</v>
      </c>
      <c r="AC13" s="8"/>
      <c r="AD13" s="8"/>
    </row>
    <row r="14" spans="2:30" hidden="1" x14ac:dyDescent="0.25">
      <c r="B14" s="7"/>
      <c r="C14" s="9"/>
      <c r="D14" s="8"/>
      <c r="E14" s="8"/>
      <c r="F14" s="8" t="s">
        <v>13</v>
      </c>
      <c r="G14" s="20"/>
      <c r="H14" s="20"/>
      <c r="I14" s="9"/>
      <c r="J14" s="8"/>
      <c r="K14" s="8"/>
      <c r="L14" s="8" t="s">
        <v>13</v>
      </c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</row>
    <row r="15" spans="2:30" x14ac:dyDescent="0.25">
      <c r="B15" s="7" t="s">
        <v>14</v>
      </c>
      <c r="C15" s="9" t="s">
        <v>15</v>
      </c>
      <c r="D15" s="8" t="s">
        <v>16</v>
      </c>
      <c r="E15" s="21">
        <v>0.83279999999999998</v>
      </c>
      <c r="F15" s="8" t="e">
        <f>MATCH(#REF!,[1]FAC_TOTALS_APTA!$A$2:$BS$2,)</f>
        <v>#REF!</v>
      </c>
      <c r="G15" s="20" t="e">
        <f>VLOOKUP(G13,[1]FAC_TOTALS_APTA!$A$4:$BS$143,#REF!,FALSE)</f>
        <v>#REF!</v>
      </c>
      <c r="H15" s="20" t="e">
        <f>VLOOKUP(H13,[1]FAC_TOTALS_APTA!$A$4:$BS$143,#REF!,FALSE)</f>
        <v>#REF!</v>
      </c>
      <c r="I15" s="22" t="str">
        <f>IFERROR(H15/G15-1,"-")</f>
        <v>-</v>
      </c>
      <c r="J15" s="23" t="str">
        <f>IF(C15="Log","_log","")</f>
        <v>_log</v>
      </c>
      <c r="K15" s="23" t="str">
        <f>CONCATENATE(D15,J15,"_FAC")</f>
        <v>VRM_ADJ_log_FAC</v>
      </c>
      <c r="L15" s="8">
        <f>MATCH($D15,[1]FAC_TOTALS_APTA!$A$2:$BQ$2,)</f>
        <v>11</v>
      </c>
      <c r="M15" s="20" t="e">
        <f>IF(M13=0,0,VLOOKUP(M13,[1]FAC_TOTALS_APTA!$A$4:$BS$143,$E15,FALSE))</f>
        <v>#REF!</v>
      </c>
      <c r="N15" s="20" t="e">
        <f>IF(N13=0,0,VLOOKUP(N13,[1]FAC_TOTALS_APTA!$A$4:$BS$143,$E15,FALSE))</f>
        <v>#REF!</v>
      </c>
      <c r="O15" s="20" t="e">
        <f>IF(O13=0,0,VLOOKUP(O13,[1]FAC_TOTALS_APTA!$A$4:$BS$143,$E15,FALSE))</f>
        <v>#REF!</v>
      </c>
      <c r="P15" s="20" t="e">
        <f>IF(P13=0,0,VLOOKUP(P13,[1]FAC_TOTALS_APTA!$A$4:$BS$143,$E15,FALSE))</f>
        <v>#REF!</v>
      </c>
      <c r="Q15" s="20" t="e">
        <f>IF(Q13=0,0,VLOOKUP(Q13,[1]FAC_TOTALS_APTA!$A$4:$BS$143,$E15,FALSE))</f>
        <v>#REF!</v>
      </c>
      <c r="R15" s="20" t="e">
        <f>IF(R13=0,0,VLOOKUP(R13,[1]FAC_TOTALS_APTA!$A$4:$BS$143,$E15,FALSE))</f>
        <v>#REF!</v>
      </c>
      <c r="S15" s="20" t="e">
        <f>IF(S13=0,0,VLOOKUP(S13,[1]FAC_TOTALS_APTA!$A$4:$BS$143,$E15,FALSE))</f>
        <v>#REF!</v>
      </c>
      <c r="T15" s="20" t="e">
        <f>IF(T13=0,0,VLOOKUP(T13,[1]FAC_TOTALS_APTA!$A$4:$BS$143,$E15,FALSE))</f>
        <v>#REF!</v>
      </c>
      <c r="U15" s="20" t="e">
        <f>IF(U13=0,0,VLOOKUP(U13,[1]FAC_TOTALS_APTA!$A$4:$BS$143,$E15,FALSE))</f>
        <v>#REF!</v>
      </c>
      <c r="V15" s="20" t="e">
        <f>IF(V13=0,0,VLOOKUP(V13,[1]FAC_TOTALS_APTA!$A$4:$BS$143,$E15,FALSE))</f>
        <v>#REF!</v>
      </c>
      <c r="W15" s="20" t="e">
        <f>IF(W13=0,0,VLOOKUP(W13,[1]FAC_TOTALS_APTA!$A$4:$BS$143,$E15,FALSE))</f>
        <v>#REF!</v>
      </c>
      <c r="X15" s="20" t="e">
        <f>IF(X13=0,0,VLOOKUP(X13,[1]FAC_TOTALS_APTA!$A$4:$BS$143,$E15,FALSE))</f>
        <v>#REF!</v>
      </c>
      <c r="Y15" s="20" t="e">
        <f>IF(Y13=0,0,VLOOKUP(Y13,[1]FAC_TOTALS_APTA!$A$4:$BS$143,$E15,FALSE))</f>
        <v>#REF!</v>
      </c>
      <c r="Z15" s="20" t="e">
        <f>IF(Z13=0,0,VLOOKUP(Z13,[1]FAC_TOTALS_APTA!$A$4:$BS$143,$E15,FALSE))</f>
        <v>#REF!</v>
      </c>
      <c r="AA15" s="20" t="e">
        <f>IF(AA13=0,0,VLOOKUP(AA13,[1]FAC_TOTALS_APTA!$A$4:$BS$143,$E15,FALSE))</f>
        <v>#REF!</v>
      </c>
      <c r="AB15" s="20" t="e">
        <f>IF(AB13=0,0,VLOOKUP(AB13,[1]FAC_TOTALS_APTA!$A$4:$BS$143,$E15,FALSE))</f>
        <v>#REF!</v>
      </c>
      <c r="AC15" s="24" t="e">
        <f>SUM(M15:AB15)</f>
        <v>#REF!</v>
      </c>
      <c r="AD15" s="25" t="e">
        <f>AC15/G31</f>
        <v>#REF!</v>
      </c>
    </row>
    <row r="16" spans="2:30" x14ac:dyDescent="0.25">
      <c r="B16" s="7" t="s">
        <v>17</v>
      </c>
      <c r="C16" s="9" t="s">
        <v>15</v>
      </c>
      <c r="D16" s="8" t="s">
        <v>18</v>
      </c>
      <c r="E16" s="21">
        <v>-0.59099999999999997</v>
      </c>
      <c r="F16" s="8" t="e">
        <f>MATCH(#REF!,[1]FAC_TOTALS_APTA!$A$2:$BS$2,)</f>
        <v>#REF!</v>
      </c>
      <c r="G16" s="26" t="e">
        <f>VLOOKUP(G13,[1]FAC_TOTALS_APTA!$A$4:$BS$143,#REF!,FALSE)</f>
        <v>#REF!</v>
      </c>
      <c r="H16" s="26" t="e">
        <f>VLOOKUP(H13,[1]FAC_TOTALS_APTA!$A$4:$BS$143,#REF!,FALSE)</f>
        <v>#REF!</v>
      </c>
      <c r="I16" s="22" t="str">
        <f t="shared" ref="I16:I28" si="0">IFERROR(H16/G16-1,"-")</f>
        <v>-</v>
      </c>
      <c r="J16" s="23" t="str">
        <f t="shared" ref="J16:J28" si="1">IF(C16="Log","_log","")</f>
        <v>_log</v>
      </c>
      <c r="K16" s="23" t="str">
        <f t="shared" ref="K16:K29" si="2">CONCATENATE(D16,J16,"_FAC")</f>
        <v>FARE_per_UPT_2018_log_FAC</v>
      </c>
      <c r="L16" s="8">
        <f>MATCH($D16,[1]FAC_TOTALS_APTA!$A$2:$BQ$2,)</f>
        <v>12</v>
      </c>
      <c r="M16" s="20" t="e">
        <f>IF(M13=0,0,VLOOKUP(M13,[1]FAC_TOTALS_APTA!$A$4:$BS$143,$E16,FALSE))</f>
        <v>#REF!</v>
      </c>
      <c r="N16" s="20" t="e">
        <f>IF(N13=0,0,VLOOKUP(N13,[1]FAC_TOTALS_APTA!$A$4:$BS$143,$E16,FALSE))</f>
        <v>#REF!</v>
      </c>
      <c r="O16" s="20" t="e">
        <f>IF(O13=0,0,VLOOKUP(O13,[1]FAC_TOTALS_APTA!$A$4:$BS$143,$E16,FALSE))</f>
        <v>#REF!</v>
      </c>
      <c r="P16" s="20" t="e">
        <f>IF(P13=0,0,VLOOKUP(P13,[1]FAC_TOTALS_APTA!$A$4:$BS$143,$E16,FALSE))</f>
        <v>#REF!</v>
      </c>
      <c r="Q16" s="20" t="e">
        <f>IF(Q13=0,0,VLOOKUP(Q13,[1]FAC_TOTALS_APTA!$A$4:$BS$143,$E16,FALSE))</f>
        <v>#REF!</v>
      </c>
      <c r="R16" s="20" t="e">
        <f>IF(R13=0,0,VLOOKUP(R13,[1]FAC_TOTALS_APTA!$A$4:$BS$143,$E16,FALSE))</f>
        <v>#REF!</v>
      </c>
      <c r="S16" s="20" t="e">
        <f>IF(S13=0,0,VLOOKUP(S13,[1]FAC_TOTALS_APTA!$A$4:$BS$143,$E16,FALSE))</f>
        <v>#REF!</v>
      </c>
      <c r="T16" s="20" t="e">
        <f>IF(T13=0,0,VLOOKUP(T13,[1]FAC_TOTALS_APTA!$A$4:$BS$143,$E16,FALSE))</f>
        <v>#REF!</v>
      </c>
      <c r="U16" s="20" t="e">
        <f>IF(U13=0,0,VLOOKUP(U13,[1]FAC_TOTALS_APTA!$A$4:$BS$143,$E16,FALSE))</f>
        <v>#REF!</v>
      </c>
      <c r="V16" s="20" t="e">
        <f>IF(V13=0,0,VLOOKUP(V13,[1]FAC_TOTALS_APTA!$A$4:$BS$143,$E16,FALSE))</f>
        <v>#REF!</v>
      </c>
      <c r="W16" s="20" t="e">
        <f>IF(W13=0,0,VLOOKUP(W13,[1]FAC_TOTALS_APTA!$A$4:$BS$143,$E16,FALSE))</f>
        <v>#REF!</v>
      </c>
      <c r="X16" s="20" t="e">
        <f>IF(X13=0,0,VLOOKUP(X13,[1]FAC_TOTALS_APTA!$A$4:$BS$143,$E16,FALSE))</f>
        <v>#REF!</v>
      </c>
      <c r="Y16" s="20" t="e">
        <f>IF(Y13=0,0,VLOOKUP(Y13,[1]FAC_TOTALS_APTA!$A$4:$BS$143,$E16,FALSE))</f>
        <v>#REF!</v>
      </c>
      <c r="Z16" s="20" t="e">
        <f>IF(Z13=0,0,VLOOKUP(Z13,[1]FAC_TOTALS_APTA!$A$4:$BS$143,$E16,FALSE))</f>
        <v>#REF!</v>
      </c>
      <c r="AA16" s="20" t="e">
        <f>IF(AA13=0,0,VLOOKUP(AA13,[1]FAC_TOTALS_APTA!$A$4:$BS$143,$E16,FALSE))</f>
        <v>#REF!</v>
      </c>
      <c r="AB16" s="20" t="e">
        <f>IF(AB13=0,0,VLOOKUP(AB13,[1]FAC_TOTALS_APTA!$A$4:$BS$143,$E16,FALSE))</f>
        <v>#REF!</v>
      </c>
      <c r="AC16" s="24" t="e">
        <f t="shared" ref="AC16:AC28" si="3">SUM(M16:AB16)</f>
        <v>#REF!</v>
      </c>
      <c r="AD16" s="25" t="e">
        <f>AC16/G31</f>
        <v>#REF!</v>
      </c>
    </row>
    <row r="17" spans="2:30" x14ac:dyDescent="0.25">
      <c r="B17" s="7" t="s">
        <v>19</v>
      </c>
      <c r="C17" s="9" t="s">
        <v>15</v>
      </c>
      <c r="D17" s="8" t="s">
        <v>20</v>
      </c>
      <c r="E17" s="21">
        <v>0.37669999999999998</v>
      </c>
      <c r="F17" s="8" t="e">
        <f>MATCH(#REF!,[1]FAC_TOTALS_APTA!$A$2:$BS$2,)</f>
        <v>#REF!</v>
      </c>
      <c r="G17" s="20" t="e">
        <f>VLOOKUP(G13,[1]FAC_TOTALS_APTA!$A$4:$BS$143,#REF!,FALSE)</f>
        <v>#REF!</v>
      </c>
      <c r="H17" s="20" t="e">
        <f>VLOOKUP(H13,[1]FAC_TOTALS_APTA!$A$4:$BS$143,#REF!,FALSE)</f>
        <v>#REF!</v>
      </c>
      <c r="I17" s="22" t="str">
        <f t="shared" si="0"/>
        <v>-</v>
      </c>
      <c r="J17" s="23" t="str">
        <f t="shared" si="1"/>
        <v>_log</v>
      </c>
      <c r="K17" s="23" t="str">
        <f t="shared" si="2"/>
        <v>POP_EMP_log_FAC</v>
      </c>
      <c r="L17" s="8">
        <f>MATCH($D17,[1]FAC_TOTALS_APTA!$A$2:$BQ$2,)</f>
        <v>13</v>
      </c>
      <c r="M17" s="20" t="e">
        <f>IF(M13=0,0,VLOOKUP(M13,[1]FAC_TOTALS_APTA!$A$4:$BS$143,$E17,FALSE))</f>
        <v>#REF!</v>
      </c>
      <c r="N17" s="20" t="e">
        <f>IF(N13=0,0,VLOOKUP(N13,[1]FAC_TOTALS_APTA!$A$4:$BS$143,$E17,FALSE))</f>
        <v>#REF!</v>
      </c>
      <c r="O17" s="20" t="e">
        <f>IF(O13=0,0,VLOOKUP(O13,[1]FAC_TOTALS_APTA!$A$4:$BS$143,$E17,FALSE))</f>
        <v>#REF!</v>
      </c>
      <c r="P17" s="20" t="e">
        <f>IF(P13=0,0,VLOOKUP(P13,[1]FAC_TOTALS_APTA!$A$4:$BS$143,$E17,FALSE))</f>
        <v>#REF!</v>
      </c>
      <c r="Q17" s="20" t="e">
        <f>IF(Q13=0,0,VLOOKUP(Q13,[1]FAC_TOTALS_APTA!$A$4:$BS$143,$E17,FALSE))</f>
        <v>#REF!</v>
      </c>
      <c r="R17" s="20" t="e">
        <f>IF(R13=0,0,VLOOKUP(R13,[1]FAC_TOTALS_APTA!$A$4:$BS$143,$E17,FALSE))</f>
        <v>#REF!</v>
      </c>
      <c r="S17" s="20" t="e">
        <f>IF(S13=0,0,VLOOKUP(S13,[1]FAC_TOTALS_APTA!$A$4:$BS$143,$E17,FALSE))</f>
        <v>#REF!</v>
      </c>
      <c r="T17" s="20" t="e">
        <f>IF(T13=0,0,VLOOKUP(T13,[1]FAC_TOTALS_APTA!$A$4:$BS$143,$E17,FALSE))</f>
        <v>#REF!</v>
      </c>
      <c r="U17" s="20" t="e">
        <f>IF(U13=0,0,VLOOKUP(U13,[1]FAC_TOTALS_APTA!$A$4:$BS$143,$E17,FALSE))</f>
        <v>#REF!</v>
      </c>
      <c r="V17" s="20" t="e">
        <f>IF(V13=0,0,VLOOKUP(V13,[1]FAC_TOTALS_APTA!$A$4:$BS$143,$E17,FALSE))</f>
        <v>#REF!</v>
      </c>
      <c r="W17" s="20" t="e">
        <f>IF(W13=0,0,VLOOKUP(W13,[1]FAC_TOTALS_APTA!$A$4:$BS$143,$E17,FALSE))</f>
        <v>#REF!</v>
      </c>
      <c r="X17" s="20" t="e">
        <f>IF(X13=0,0,VLOOKUP(X13,[1]FAC_TOTALS_APTA!$A$4:$BS$143,$E17,FALSE))</f>
        <v>#REF!</v>
      </c>
      <c r="Y17" s="20" t="e">
        <f>IF(Y13=0,0,VLOOKUP(Y13,[1]FAC_TOTALS_APTA!$A$4:$BS$143,$E17,FALSE))</f>
        <v>#REF!</v>
      </c>
      <c r="Z17" s="20" t="e">
        <f>IF(Z13=0,0,VLOOKUP(Z13,[1]FAC_TOTALS_APTA!$A$4:$BS$143,$E17,FALSE))</f>
        <v>#REF!</v>
      </c>
      <c r="AA17" s="20" t="e">
        <f>IF(AA13=0,0,VLOOKUP(AA13,[1]FAC_TOTALS_APTA!$A$4:$BS$143,$E17,FALSE))</f>
        <v>#REF!</v>
      </c>
      <c r="AB17" s="20" t="e">
        <f>IF(AB13=0,0,VLOOKUP(AB13,[1]FAC_TOTALS_APTA!$A$4:$BS$143,$E17,FALSE))</f>
        <v>#REF!</v>
      </c>
      <c r="AC17" s="24" t="e">
        <f t="shared" si="3"/>
        <v>#REF!</v>
      </c>
      <c r="AD17" s="25" t="e">
        <f>AC17/G31</f>
        <v>#REF!</v>
      </c>
    </row>
    <row r="18" spans="2:30" ht="25.5" x14ac:dyDescent="0.25">
      <c r="B18" s="7" t="s">
        <v>21</v>
      </c>
      <c r="C18" s="9"/>
      <c r="D18" s="8" t="s">
        <v>22</v>
      </c>
      <c r="E18" s="21">
        <v>5.4999999999999997E-3</v>
      </c>
      <c r="F18" s="8" t="e">
        <f>MATCH(#REF!,[1]FAC_TOTALS_APTA!$A$2:$BS$2,)</f>
        <v>#REF!</v>
      </c>
      <c r="G18" s="26" t="e">
        <f>VLOOKUP(G13,[1]FAC_TOTALS_APTA!$A$4:$BS$143,#REF!,FALSE)</f>
        <v>#REF!</v>
      </c>
      <c r="H18" s="26" t="e">
        <f>VLOOKUP(H13,[1]FAC_TOTALS_APTA!$A$4:$BS$143,#REF!,FALSE)</f>
        <v>#REF!</v>
      </c>
      <c r="I18" s="22" t="str">
        <f t="shared" si="0"/>
        <v>-</v>
      </c>
      <c r="J18" s="23" t="str">
        <f t="shared" si="1"/>
        <v/>
      </c>
      <c r="K18" s="23" t="str">
        <f t="shared" si="2"/>
        <v>TSD_POP_PCT_FAC</v>
      </c>
      <c r="L18" s="8">
        <f>MATCH($D18,[1]FAC_TOTALS_APTA!$A$2:$BQ$2,)</f>
        <v>17</v>
      </c>
      <c r="M18" s="20" t="e">
        <f>IF(M13=0,0,VLOOKUP(M13,[1]FAC_TOTALS_APTA!$A$4:$BS$143,$E18,FALSE))</f>
        <v>#REF!</v>
      </c>
      <c r="N18" s="20" t="e">
        <f>IF(N13=0,0,VLOOKUP(N13,[1]FAC_TOTALS_APTA!$A$4:$BS$143,$E18,FALSE))</f>
        <v>#REF!</v>
      </c>
      <c r="O18" s="20" t="e">
        <f>IF(O13=0,0,VLOOKUP(O13,[1]FAC_TOTALS_APTA!$A$4:$BS$143,$E18,FALSE))</f>
        <v>#REF!</v>
      </c>
      <c r="P18" s="20" t="e">
        <f>IF(P13=0,0,VLOOKUP(P13,[1]FAC_TOTALS_APTA!$A$4:$BS$143,$E18,FALSE))</f>
        <v>#REF!</v>
      </c>
      <c r="Q18" s="20" t="e">
        <f>IF(Q13=0,0,VLOOKUP(Q13,[1]FAC_TOTALS_APTA!$A$4:$BS$143,$E18,FALSE))</f>
        <v>#REF!</v>
      </c>
      <c r="R18" s="20" t="e">
        <f>IF(R13=0,0,VLOOKUP(R13,[1]FAC_TOTALS_APTA!$A$4:$BS$143,$E18,FALSE))</f>
        <v>#REF!</v>
      </c>
      <c r="S18" s="20" t="e">
        <f>IF(S13=0,0,VLOOKUP(S13,[1]FAC_TOTALS_APTA!$A$4:$BS$143,$E18,FALSE))</f>
        <v>#REF!</v>
      </c>
      <c r="T18" s="20" t="e">
        <f>IF(T13=0,0,VLOOKUP(T13,[1]FAC_TOTALS_APTA!$A$4:$BS$143,$E18,FALSE))</f>
        <v>#REF!</v>
      </c>
      <c r="U18" s="20" t="e">
        <f>IF(U13=0,0,VLOOKUP(U13,[1]FAC_TOTALS_APTA!$A$4:$BS$143,$E18,FALSE))</f>
        <v>#REF!</v>
      </c>
      <c r="V18" s="20" t="e">
        <f>IF(V13=0,0,VLOOKUP(V13,[1]FAC_TOTALS_APTA!$A$4:$BS$143,$E18,FALSE))</f>
        <v>#REF!</v>
      </c>
      <c r="W18" s="20" t="e">
        <f>IF(W13=0,0,VLOOKUP(W13,[1]FAC_TOTALS_APTA!$A$4:$BS$143,$E18,FALSE))</f>
        <v>#REF!</v>
      </c>
      <c r="X18" s="20" t="e">
        <f>IF(X13=0,0,VLOOKUP(X13,[1]FAC_TOTALS_APTA!$A$4:$BS$143,$E18,FALSE))</f>
        <v>#REF!</v>
      </c>
      <c r="Y18" s="20" t="e">
        <f>IF(Y13=0,0,VLOOKUP(Y13,[1]FAC_TOTALS_APTA!$A$4:$BS$143,$E18,FALSE))</f>
        <v>#REF!</v>
      </c>
      <c r="Z18" s="20" t="e">
        <f>IF(Z13=0,0,VLOOKUP(Z13,[1]FAC_TOTALS_APTA!$A$4:$BS$143,$E18,FALSE))</f>
        <v>#REF!</v>
      </c>
      <c r="AA18" s="20" t="e">
        <f>IF(AA13=0,0,VLOOKUP(AA13,[1]FAC_TOTALS_APTA!$A$4:$BS$143,$E18,FALSE))</f>
        <v>#REF!</v>
      </c>
      <c r="AB18" s="20" t="e">
        <f>IF(AB13=0,0,VLOOKUP(AB13,[1]FAC_TOTALS_APTA!$A$4:$BS$143,$E18,FALSE))</f>
        <v>#REF!</v>
      </c>
      <c r="AC18" s="24" t="e">
        <f t="shared" si="3"/>
        <v>#REF!</v>
      </c>
      <c r="AD18" s="25" t="e">
        <f>AC18/G31</f>
        <v>#REF!</v>
      </c>
    </row>
    <row r="19" spans="2:30" x14ac:dyDescent="0.25">
      <c r="B19" s="7" t="s">
        <v>23</v>
      </c>
      <c r="C19" s="9" t="s">
        <v>15</v>
      </c>
      <c r="D19" s="27" t="s">
        <v>24</v>
      </c>
      <c r="E19" s="21">
        <v>0.1762</v>
      </c>
      <c r="F19" s="8" t="e">
        <f>MATCH(#REF!,[1]FAC_TOTALS_APTA!$A$2:$BS$2,)</f>
        <v>#REF!</v>
      </c>
      <c r="G19" s="28" t="e">
        <f>VLOOKUP(G13,[1]FAC_TOTALS_APTA!$A$4:$BS$143,#REF!,FALSE)</f>
        <v>#REF!</v>
      </c>
      <c r="H19" s="28" t="e">
        <f>VLOOKUP(H13,[1]FAC_TOTALS_APTA!$A$4:$BS$143,#REF!,FALSE)</f>
        <v>#REF!</v>
      </c>
      <c r="I19" s="22" t="str">
        <f t="shared" si="0"/>
        <v>-</v>
      </c>
      <c r="J19" s="23" t="str">
        <f t="shared" si="1"/>
        <v>_log</v>
      </c>
      <c r="K19" s="23" t="str">
        <f t="shared" si="2"/>
        <v>GAS_PRICE_2018_log_FAC</v>
      </c>
      <c r="L19" s="8">
        <f>MATCH($D19,[1]FAC_TOTALS_APTA!$A$2:$BQ$2,)</f>
        <v>14</v>
      </c>
      <c r="M19" s="20" t="e">
        <f>IF(M13=0,0,VLOOKUP(M13,[1]FAC_TOTALS_APTA!$A$4:$BS$143,$E19,FALSE))</f>
        <v>#REF!</v>
      </c>
      <c r="N19" s="20" t="e">
        <f>IF(N13=0,0,VLOOKUP(N13,[1]FAC_TOTALS_APTA!$A$4:$BS$143,$E19,FALSE))</f>
        <v>#REF!</v>
      </c>
      <c r="O19" s="20" t="e">
        <f>IF(O13=0,0,VLOOKUP(O13,[1]FAC_TOTALS_APTA!$A$4:$BS$143,$E19,FALSE))</f>
        <v>#REF!</v>
      </c>
      <c r="P19" s="20" t="e">
        <f>IF(P13=0,0,VLOOKUP(P13,[1]FAC_TOTALS_APTA!$A$4:$BS$143,$E19,FALSE))</f>
        <v>#REF!</v>
      </c>
      <c r="Q19" s="20" t="e">
        <f>IF(Q13=0,0,VLOOKUP(Q13,[1]FAC_TOTALS_APTA!$A$4:$BS$143,$E19,FALSE))</f>
        <v>#REF!</v>
      </c>
      <c r="R19" s="20" t="e">
        <f>IF(R13=0,0,VLOOKUP(R13,[1]FAC_TOTALS_APTA!$A$4:$BS$143,$E19,FALSE))</f>
        <v>#REF!</v>
      </c>
      <c r="S19" s="20" t="e">
        <f>IF(S13=0,0,VLOOKUP(S13,[1]FAC_TOTALS_APTA!$A$4:$BS$143,$E19,FALSE))</f>
        <v>#REF!</v>
      </c>
      <c r="T19" s="20" t="e">
        <f>IF(T13=0,0,VLOOKUP(T13,[1]FAC_TOTALS_APTA!$A$4:$BS$143,$E19,FALSE))</f>
        <v>#REF!</v>
      </c>
      <c r="U19" s="20" t="e">
        <f>IF(U13=0,0,VLOOKUP(U13,[1]FAC_TOTALS_APTA!$A$4:$BS$143,$E19,FALSE))</f>
        <v>#REF!</v>
      </c>
      <c r="V19" s="20" t="e">
        <f>IF(V13=0,0,VLOOKUP(V13,[1]FAC_TOTALS_APTA!$A$4:$BS$143,$E19,FALSE))</f>
        <v>#REF!</v>
      </c>
      <c r="W19" s="20" t="e">
        <f>IF(W13=0,0,VLOOKUP(W13,[1]FAC_TOTALS_APTA!$A$4:$BS$143,$E19,FALSE))</f>
        <v>#REF!</v>
      </c>
      <c r="X19" s="20" t="e">
        <f>IF(X13=0,0,VLOOKUP(X13,[1]FAC_TOTALS_APTA!$A$4:$BS$143,$E19,FALSE))</f>
        <v>#REF!</v>
      </c>
      <c r="Y19" s="20" t="e">
        <f>IF(Y13=0,0,VLOOKUP(Y13,[1]FAC_TOTALS_APTA!$A$4:$BS$143,$E19,FALSE))</f>
        <v>#REF!</v>
      </c>
      <c r="Z19" s="20" t="e">
        <f>IF(Z13=0,0,VLOOKUP(Z13,[1]FAC_TOTALS_APTA!$A$4:$BS$143,$E19,FALSE))</f>
        <v>#REF!</v>
      </c>
      <c r="AA19" s="20" t="e">
        <f>IF(AA13=0,0,VLOOKUP(AA13,[1]FAC_TOTALS_APTA!$A$4:$BS$143,$E19,FALSE))</f>
        <v>#REF!</v>
      </c>
      <c r="AB19" s="20" t="e">
        <f>IF(AB13=0,0,VLOOKUP(AB13,[1]FAC_TOTALS_APTA!$A$4:$BS$143,$E19,FALSE))</f>
        <v>#REF!</v>
      </c>
      <c r="AC19" s="24" t="e">
        <f t="shared" si="3"/>
        <v>#REF!</v>
      </c>
      <c r="AD19" s="25" t="e">
        <f>AC19/G31</f>
        <v>#REF!</v>
      </c>
    </row>
    <row r="20" spans="2:30" x14ac:dyDescent="0.25">
      <c r="B20" s="7" t="s">
        <v>25</v>
      </c>
      <c r="C20" s="9" t="s">
        <v>15</v>
      </c>
      <c r="D20" s="8" t="s">
        <v>26</v>
      </c>
      <c r="E20" s="21">
        <v>-0.27529999999999999</v>
      </c>
      <c r="F20" s="8" t="e">
        <f>MATCH(#REF!,[1]FAC_TOTALS_APTA!$A$2:$BS$2,)</f>
        <v>#REF!</v>
      </c>
      <c r="G20" s="26" t="e">
        <f>VLOOKUP(G13,[1]FAC_TOTALS_APTA!$A$4:$BS$143,#REF!,FALSE)</f>
        <v>#REF!</v>
      </c>
      <c r="H20" s="26" t="e">
        <f>VLOOKUP(H13,[1]FAC_TOTALS_APTA!$A$4:$BS$143,#REF!,FALSE)</f>
        <v>#REF!</v>
      </c>
      <c r="I20" s="22" t="str">
        <f t="shared" si="0"/>
        <v>-</v>
      </c>
      <c r="J20" s="23" t="str">
        <f t="shared" si="1"/>
        <v>_log</v>
      </c>
      <c r="K20" s="23" t="str">
        <f t="shared" si="2"/>
        <v>TOTAL_MED_INC_INDIV_2018_log_FAC</v>
      </c>
      <c r="L20" s="8">
        <f>MATCH($D20,[1]FAC_TOTALS_APTA!$A$2:$BQ$2,)</f>
        <v>15</v>
      </c>
      <c r="M20" s="20" t="e">
        <f>IF(M13=0,0,VLOOKUP(M13,[1]FAC_TOTALS_APTA!$A$4:$BS$143,$E20,FALSE))</f>
        <v>#REF!</v>
      </c>
      <c r="N20" s="20" t="e">
        <f>IF(N13=0,0,VLOOKUP(N13,[1]FAC_TOTALS_APTA!$A$4:$BS$143,$E20,FALSE))</f>
        <v>#REF!</v>
      </c>
      <c r="O20" s="20" t="e">
        <f>IF(O13=0,0,VLOOKUP(O13,[1]FAC_TOTALS_APTA!$A$4:$BS$143,$E20,FALSE))</f>
        <v>#REF!</v>
      </c>
      <c r="P20" s="20" t="e">
        <f>IF(P13=0,0,VLOOKUP(P13,[1]FAC_TOTALS_APTA!$A$4:$BS$143,$E20,FALSE))</f>
        <v>#REF!</v>
      </c>
      <c r="Q20" s="20" t="e">
        <f>IF(Q13=0,0,VLOOKUP(Q13,[1]FAC_TOTALS_APTA!$A$4:$BS$143,$E20,FALSE))</f>
        <v>#REF!</v>
      </c>
      <c r="R20" s="20" t="e">
        <f>IF(R13=0,0,VLOOKUP(R13,[1]FAC_TOTALS_APTA!$A$4:$BS$143,$E20,FALSE))</f>
        <v>#REF!</v>
      </c>
      <c r="S20" s="20" t="e">
        <f>IF(S13=0,0,VLOOKUP(S13,[1]FAC_TOTALS_APTA!$A$4:$BS$143,$E20,FALSE))</f>
        <v>#REF!</v>
      </c>
      <c r="T20" s="20" t="e">
        <f>IF(T13=0,0,VLOOKUP(T13,[1]FAC_TOTALS_APTA!$A$4:$BS$143,$E20,FALSE))</f>
        <v>#REF!</v>
      </c>
      <c r="U20" s="20" t="e">
        <f>IF(U13=0,0,VLOOKUP(U13,[1]FAC_TOTALS_APTA!$A$4:$BS$143,$E20,FALSE))</f>
        <v>#REF!</v>
      </c>
      <c r="V20" s="20" t="e">
        <f>IF(V13=0,0,VLOOKUP(V13,[1]FAC_TOTALS_APTA!$A$4:$BS$143,$E20,FALSE))</f>
        <v>#REF!</v>
      </c>
      <c r="W20" s="20" t="e">
        <f>IF(W13=0,0,VLOOKUP(W13,[1]FAC_TOTALS_APTA!$A$4:$BS$143,$E20,FALSE))</f>
        <v>#REF!</v>
      </c>
      <c r="X20" s="20" t="e">
        <f>IF(X13=0,0,VLOOKUP(X13,[1]FAC_TOTALS_APTA!$A$4:$BS$143,$E20,FALSE))</f>
        <v>#REF!</v>
      </c>
      <c r="Y20" s="20" t="e">
        <f>IF(Y13=0,0,VLOOKUP(Y13,[1]FAC_TOTALS_APTA!$A$4:$BS$143,$E20,FALSE))</f>
        <v>#REF!</v>
      </c>
      <c r="Z20" s="20" t="e">
        <f>IF(Z13=0,0,VLOOKUP(Z13,[1]FAC_TOTALS_APTA!$A$4:$BS$143,$E20,FALSE))</f>
        <v>#REF!</v>
      </c>
      <c r="AA20" s="20" t="e">
        <f>IF(AA13=0,0,VLOOKUP(AA13,[1]FAC_TOTALS_APTA!$A$4:$BS$143,$E20,FALSE))</f>
        <v>#REF!</v>
      </c>
      <c r="AB20" s="20" t="e">
        <f>IF(AB13=0,0,VLOOKUP(AB13,[1]FAC_TOTALS_APTA!$A$4:$BS$143,$E20,FALSE))</f>
        <v>#REF!</v>
      </c>
      <c r="AC20" s="24" t="e">
        <f t="shared" si="3"/>
        <v>#REF!</v>
      </c>
      <c r="AD20" s="25" t="e">
        <f>AC20/G31</f>
        <v>#REF!</v>
      </c>
    </row>
    <row r="21" spans="2:30" x14ac:dyDescent="0.25">
      <c r="B21" s="7" t="s">
        <v>27</v>
      </c>
      <c r="C21" s="9"/>
      <c r="D21" s="8" t="s">
        <v>28</v>
      </c>
      <c r="E21" s="21">
        <v>6.8999999999999999E-3</v>
      </c>
      <c r="F21" s="8" t="e">
        <f>MATCH(#REF!,[1]FAC_TOTALS_APTA!$A$2:$BS$2,)</f>
        <v>#REF!</v>
      </c>
      <c r="G21" s="20" t="e">
        <f>VLOOKUP(G13,[1]FAC_TOTALS_APTA!$A$4:$BS$143,#REF!,FALSE)</f>
        <v>#REF!</v>
      </c>
      <c r="H21" s="20" t="e">
        <f>VLOOKUP(H13,[1]FAC_TOTALS_APTA!$A$4:$BS$143,#REF!,FALSE)</f>
        <v>#REF!</v>
      </c>
      <c r="I21" s="22" t="str">
        <f t="shared" si="0"/>
        <v>-</v>
      </c>
      <c r="J21" s="23" t="str">
        <f t="shared" si="1"/>
        <v/>
      </c>
      <c r="K21" s="23" t="str">
        <f t="shared" si="2"/>
        <v>PCT_HH_NO_VEH_FAC</v>
      </c>
      <c r="L21" s="8">
        <f>MATCH($D21,[1]FAC_TOTALS_APTA!$A$2:$BQ$2,)</f>
        <v>16</v>
      </c>
      <c r="M21" s="20" t="e">
        <f>IF(M13=0,0,VLOOKUP(M13,[1]FAC_TOTALS_APTA!$A$4:$BS$143,$E21,FALSE))</f>
        <v>#REF!</v>
      </c>
      <c r="N21" s="20" t="e">
        <f>IF(N13=0,0,VLOOKUP(N13,[1]FAC_TOTALS_APTA!$A$4:$BS$143,$E21,FALSE))</f>
        <v>#REF!</v>
      </c>
      <c r="O21" s="20" t="e">
        <f>IF(O13=0,0,VLOOKUP(O13,[1]FAC_TOTALS_APTA!$A$4:$BS$143,$E21,FALSE))</f>
        <v>#REF!</v>
      </c>
      <c r="P21" s="20" t="e">
        <f>IF(P13=0,0,VLOOKUP(P13,[1]FAC_TOTALS_APTA!$A$4:$BS$143,$E21,FALSE))</f>
        <v>#REF!</v>
      </c>
      <c r="Q21" s="20" t="e">
        <f>IF(Q13=0,0,VLOOKUP(Q13,[1]FAC_TOTALS_APTA!$A$4:$BS$143,$E21,FALSE))</f>
        <v>#REF!</v>
      </c>
      <c r="R21" s="20" t="e">
        <f>IF(R13=0,0,VLOOKUP(R13,[1]FAC_TOTALS_APTA!$A$4:$BS$143,$E21,FALSE))</f>
        <v>#REF!</v>
      </c>
      <c r="S21" s="20" t="e">
        <f>IF(S13=0,0,VLOOKUP(S13,[1]FAC_TOTALS_APTA!$A$4:$BS$143,$E21,FALSE))</f>
        <v>#REF!</v>
      </c>
      <c r="T21" s="20" t="e">
        <f>IF(T13=0,0,VLOOKUP(T13,[1]FAC_TOTALS_APTA!$A$4:$BS$143,$E21,FALSE))</f>
        <v>#REF!</v>
      </c>
      <c r="U21" s="20" t="e">
        <f>IF(U13=0,0,VLOOKUP(U13,[1]FAC_TOTALS_APTA!$A$4:$BS$143,$E21,FALSE))</f>
        <v>#REF!</v>
      </c>
      <c r="V21" s="20" t="e">
        <f>IF(V13=0,0,VLOOKUP(V13,[1]FAC_TOTALS_APTA!$A$4:$BS$143,$E21,FALSE))</f>
        <v>#REF!</v>
      </c>
      <c r="W21" s="20" t="e">
        <f>IF(W13=0,0,VLOOKUP(W13,[1]FAC_TOTALS_APTA!$A$4:$BS$143,$E21,FALSE))</f>
        <v>#REF!</v>
      </c>
      <c r="X21" s="20" t="e">
        <f>IF(X13=0,0,VLOOKUP(X13,[1]FAC_TOTALS_APTA!$A$4:$BS$143,$E21,FALSE))</f>
        <v>#REF!</v>
      </c>
      <c r="Y21" s="20" t="e">
        <f>IF(Y13=0,0,VLOOKUP(Y13,[1]FAC_TOTALS_APTA!$A$4:$BS$143,$E21,FALSE))</f>
        <v>#REF!</v>
      </c>
      <c r="Z21" s="20" t="e">
        <f>IF(Z13=0,0,VLOOKUP(Z13,[1]FAC_TOTALS_APTA!$A$4:$BS$143,$E21,FALSE))</f>
        <v>#REF!</v>
      </c>
      <c r="AA21" s="20" t="e">
        <f>IF(AA13=0,0,VLOOKUP(AA13,[1]FAC_TOTALS_APTA!$A$4:$BS$143,$E21,FALSE))</f>
        <v>#REF!</v>
      </c>
      <c r="AB21" s="20" t="e">
        <f>IF(AB13=0,0,VLOOKUP(AB13,[1]FAC_TOTALS_APTA!$A$4:$BS$143,$E21,FALSE))</f>
        <v>#REF!</v>
      </c>
      <c r="AC21" s="24" t="e">
        <f t="shared" si="3"/>
        <v>#REF!</v>
      </c>
      <c r="AD21" s="25" t="e">
        <f>AC21/G31</f>
        <v>#REF!</v>
      </c>
    </row>
    <row r="22" spans="2:30" x14ac:dyDescent="0.25">
      <c r="B22" s="7" t="s">
        <v>29</v>
      </c>
      <c r="C22" s="9"/>
      <c r="D22" s="8" t="s">
        <v>30</v>
      </c>
      <c r="E22" s="21">
        <v>-3.0000000000000001E-3</v>
      </c>
      <c r="F22" s="8" t="e">
        <f>MATCH(#REF!,[1]FAC_TOTALS_APTA!$A$2:$BS$2,)</f>
        <v>#REF!</v>
      </c>
      <c r="G22" s="28" t="e">
        <f>VLOOKUP(G13,[1]FAC_TOTALS_APTA!$A$4:$BS$143,#REF!,FALSE)</f>
        <v>#REF!</v>
      </c>
      <c r="H22" s="28" t="e">
        <f>VLOOKUP(H13,[1]FAC_TOTALS_APTA!$A$4:$BS$143,#REF!,FALSE)</f>
        <v>#REF!</v>
      </c>
      <c r="I22" s="22" t="str">
        <f t="shared" si="0"/>
        <v>-</v>
      </c>
      <c r="J22" s="23" t="str">
        <f t="shared" si="1"/>
        <v/>
      </c>
      <c r="K22" s="23" t="str">
        <f t="shared" si="2"/>
        <v>JTW_HOME_PCT_FAC</v>
      </c>
      <c r="L22" s="8">
        <f>MATCH($D22,[1]FAC_TOTALS_APTA!$A$2:$BQ$2,)</f>
        <v>18</v>
      </c>
      <c r="M22" s="20" t="e">
        <f>IF(M13=0,0,VLOOKUP(M13,[1]FAC_TOTALS_APTA!$A$4:$BS$143,$E22,FALSE))</f>
        <v>#REF!</v>
      </c>
      <c r="N22" s="20" t="e">
        <f>IF(N13=0,0,VLOOKUP(N13,[1]FAC_TOTALS_APTA!$A$4:$BS$143,$E22,FALSE))</f>
        <v>#REF!</v>
      </c>
      <c r="O22" s="20" t="e">
        <f>IF(O13=0,0,VLOOKUP(O13,[1]FAC_TOTALS_APTA!$A$4:$BS$143,$E22,FALSE))</f>
        <v>#REF!</v>
      </c>
      <c r="P22" s="20" t="e">
        <f>IF(P13=0,0,VLOOKUP(P13,[1]FAC_TOTALS_APTA!$A$4:$BS$143,$E22,FALSE))</f>
        <v>#REF!</v>
      </c>
      <c r="Q22" s="20" t="e">
        <f>IF(Q13=0,0,VLOOKUP(Q13,[1]FAC_TOTALS_APTA!$A$4:$BS$143,$E22,FALSE))</f>
        <v>#REF!</v>
      </c>
      <c r="R22" s="20" t="e">
        <f>IF(R13=0,0,VLOOKUP(R13,[1]FAC_TOTALS_APTA!$A$4:$BS$143,$E22,FALSE))</f>
        <v>#REF!</v>
      </c>
      <c r="S22" s="20" t="e">
        <f>IF(S13=0,0,VLOOKUP(S13,[1]FAC_TOTALS_APTA!$A$4:$BS$143,$E22,FALSE))</f>
        <v>#REF!</v>
      </c>
      <c r="T22" s="20" t="e">
        <f>IF(T13=0,0,VLOOKUP(T13,[1]FAC_TOTALS_APTA!$A$4:$BS$143,$E22,FALSE))</f>
        <v>#REF!</v>
      </c>
      <c r="U22" s="20" t="e">
        <f>IF(U13=0,0,VLOOKUP(U13,[1]FAC_TOTALS_APTA!$A$4:$BS$143,$E22,FALSE))</f>
        <v>#REF!</v>
      </c>
      <c r="V22" s="20" t="e">
        <f>IF(V13=0,0,VLOOKUP(V13,[1]FAC_TOTALS_APTA!$A$4:$BS$143,$E22,FALSE))</f>
        <v>#REF!</v>
      </c>
      <c r="W22" s="20" t="e">
        <f>IF(W13=0,0,VLOOKUP(W13,[1]FAC_TOTALS_APTA!$A$4:$BS$143,$E22,FALSE))</f>
        <v>#REF!</v>
      </c>
      <c r="X22" s="20" t="e">
        <f>IF(X13=0,0,VLOOKUP(X13,[1]FAC_TOTALS_APTA!$A$4:$BS$143,$E22,FALSE))</f>
        <v>#REF!</v>
      </c>
      <c r="Y22" s="20" t="e">
        <f>IF(Y13=0,0,VLOOKUP(Y13,[1]FAC_TOTALS_APTA!$A$4:$BS$143,$E22,FALSE))</f>
        <v>#REF!</v>
      </c>
      <c r="Z22" s="20" t="e">
        <f>IF(Z13=0,0,VLOOKUP(Z13,[1]FAC_TOTALS_APTA!$A$4:$BS$143,$E22,FALSE))</f>
        <v>#REF!</v>
      </c>
      <c r="AA22" s="20" t="e">
        <f>IF(AA13=0,0,VLOOKUP(AA13,[1]FAC_TOTALS_APTA!$A$4:$BS$143,$E22,FALSE))</f>
        <v>#REF!</v>
      </c>
      <c r="AB22" s="20" t="e">
        <f>IF(AB13=0,0,VLOOKUP(AB13,[1]FAC_TOTALS_APTA!$A$4:$BS$143,$E22,FALSE))</f>
        <v>#REF!</v>
      </c>
      <c r="AC22" s="24" t="e">
        <f t="shared" si="3"/>
        <v>#REF!</v>
      </c>
      <c r="AD22" s="25" t="e">
        <f>AC22/G31</f>
        <v>#REF!</v>
      </c>
    </row>
    <row r="23" spans="2:30" ht="17.25" customHeight="1" x14ac:dyDescent="0.25">
      <c r="B23" s="7" t="s">
        <v>31</v>
      </c>
      <c r="C23" s="9"/>
      <c r="D23" s="7" t="s">
        <v>32</v>
      </c>
      <c r="E23" s="21">
        <v>-1.29E-2</v>
      </c>
      <c r="F23" s="8" t="e">
        <f>MATCH(#REF!,[1]FAC_TOTALS_APTA!$A$2:$BS$2,)</f>
        <v>#REF!</v>
      </c>
      <c r="G23" s="28" t="e">
        <f>VLOOKUP(G13,[1]FAC_TOTALS_APTA!$A$4:$BS$143,#REF!,FALSE)</f>
        <v>#REF!</v>
      </c>
      <c r="H23" s="28" t="e">
        <f>VLOOKUP(H13,[1]FAC_TOTALS_APTA!$A$4:$BS$143,#REF!,FALSE)</f>
        <v>#REF!</v>
      </c>
      <c r="I23" s="22" t="str">
        <f t="shared" si="0"/>
        <v>-</v>
      </c>
      <c r="J23" s="23" t="str">
        <f t="shared" si="1"/>
        <v/>
      </c>
      <c r="K23" s="23" t="str">
        <f t="shared" si="2"/>
        <v>YEARS_SINCE_TNC_BUS2_HINY_FAC</v>
      </c>
      <c r="L23" s="8">
        <f>MATCH($D23,[1]FAC_TOTALS_APTA!$A$2:$BQ$2,)</f>
        <v>19</v>
      </c>
      <c r="M23" s="20" t="e">
        <f>IF(M13=0,0,VLOOKUP(M13,[1]FAC_TOTALS_APTA!$A$4:$BS$143,$E23,FALSE))</f>
        <v>#REF!</v>
      </c>
      <c r="N23" s="20" t="e">
        <f>IF(N13=0,0,VLOOKUP(N13,[1]FAC_TOTALS_APTA!$A$4:$BS$143,$E23,FALSE))</f>
        <v>#REF!</v>
      </c>
      <c r="O23" s="20" t="e">
        <f>IF(O13=0,0,VLOOKUP(O13,[1]FAC_TOTALS_APTA!$A$4:$BS$143,$E23,FALSE))</f>
        <v>#REF!</v>
      </c>
      <c r="P23" s="20" t="e">
        <f>IF(P13=0,0,VLOOKUP(P13,[1]FAC_TOTALS_APTA!$A$4:$BS$143,$E23,FALSE))</f>
        <v>#REF!</v>
      </c>
      <c r="Q23" s="20" t="e">
        <f>IF(Q13=0,0,VLOOKUP(Q13,[1]FAC_TOTALS_APTA!$A$4:$BS$143,$E23,FALSE))</f>
        <v>#REF!</v>
      </c>
      <c r="R23" s="20" t="e">
        <f>IF(R13=0,0,VLOOKUP(R13,[1]FAC_TOTALS_APTA!$A$4:$BS$143,$E23,FALSE))</f>
        <v>#REF!</v>
      </c>
      <c r="S23" s="20" t="e">
        <f>IF(S13=0,0,VLOOKUP(S13,[1]FAC_TOTALS_APTA!$A$4:$BS$143,$E23,FALSE))</f>
        <v>#REF!</v>
      </c>
      <c r="T23" s="20" t="e">
        <f>IF(T13=0,0,VLOOKUP(T13,[1]FAC_TOTALS_APTA!$A$4:$BS$143,$E23,FALSE))</f>
        <v>#REF!</v>
      </c>
      <c r="U23" s="20" t="e">
        <f>IF(U13=0,0,VLOOKUP(U13,[1]FAC_TOTALS_APTA!$A$4:$BS$143,$E23,FALSE))</f>
        <v>#REF!</v>
      </c>
      <c r="V23" s="20" t="e">
        <f>IF(V13=0,0,VLOOKUP(V13,[1]FAC_TOTALS_APTA!$A$4:$BS$143,$E23,FALSE))</f>
        <v>#REF!</v>
      </c>
      <c r="W23" s="20" t="e">
        <f>IF(W13=0,0,VLOOKUP(W13,[1]FAC_TOTALS_APTA!$A$4:$BS$143,$E23,FALSE))</f>
        <v>#REF!</v>
      </c>
      <c r="X23" s="20" t="e">
        <f>IF(X13=0,0,VLOOKUP(X13,[1]FAC_TOTALS_APTA!$A$4:$BS$143,$E23,FALSE))</f>
        <v>#REF!</v>
      </c>
      <c r="Y23" s="20" t="e">
        <f>IF(Y13=0,0,VLOOKUP(Y13,[1]FAC_TOTALS_APTA!$A$4:$BS$143,$E23,FALSE))</f>
        <v>#REF!</v>
      </c>
      <c r="Z23" s="20" t="e">
        <f>IF(Z13=0,0,VLOOKUP(Z13,[1]FAC_TOTALS_APTA!$A$4:$BS$143,$E23,FALSE))</f>
        <v>#REF!</v>
      </c>
      <c r="AA23" s="20" t="e">
        <f>IF(AA13=0,0,VLOOKUP(AA13,[1]FAC_TOTALS_APTA!$A$4:$BS$143,$E23,FALSE))</f>
        <v>#REF!</v>
      </c>
      <c r="AB23" s="20" t="e">
        <f>IF(AB13=0,0,VLOOKUP(AB13,[1]FAC_TOTALS_APTA!$A$4:$BS$143,$E23,FALSE))</f>
        <v>#REF!</v>
      </c>
      <c r="AC23" s="24" t="e">
        <f t="shared" si="3"/>
        <v>#REF!</v>
      </c>
      <c r="AD23" s="25" t="e">
        <f>AC23/G31</f>
        <v>#REF!</v>
      </c>
    </row>
    <row r="24" spans="2:30" ht="16.5" customHeight="1" x14ac:dyDescent="0.25">
      <c r="B24" s="7" t="s">
        <v>31</v>
      </c>
      <c r="C24" s="9"/>
      <c r="D24" s="7" t="s">
        <v>33</v>
      </c>
      <c r="E24" s="21">
        <v>-2.7400000000000001E-2</v>
      </c>
      <c r="F24" s="8" t="e">
        <f>MATCH(#REF!,[1]FAC_TOTALS_APTA!$A$2:$BS$2,)</f>
        <v>#REF!</v>
      </c>
      <c r="G24" s="28" t="e">
        <f>VLOOKUP(G13,[1]FAC_TOTALS_APTA!$A$4:$BS$143,#REF!,FALSE)</f>
        <v>#REF!</v>
      </c>
      <c r="H24" s="28" t="e">
        <f>VLOOKUP(H13,[1]FAC_TOTALS_APTA!$A$4:$BS$143,#REF!,FALSE)</f>
        <v>#REF!</v>
      </c>
      <c r="I24" s="22" t="str">
        <f t="shared" si="0"/>
        <v>-</v>
      </c>
      <c r="J24" s="23" t="str">
        <f t="shared" si="1"/>
        <v/>
      </c>
      <c r="K24" s="23" t="str">
        <f t="shared" si="2"/>
        <v>YEARS_SINCE_TNC_BUS2_MIDLOW_FAC</v>
      </c>
      <c r="L24" s="8">
        <f>MATCH($D24,[1]FAC_TOTALS_APTA!$A$2:$BQ$2,)</f>
        <v>20</v>
      </c>
      <c r="M24" s="20" t="e">
        <f>IF(M13=0,0,VLOOKUP(M13,[1]FAC_TOTALS_APTA!$A$4:$BS$143,$E24,FALSE))</f>
        <v>#REF!</v>
      </c>
      <c r="N24" s="20" t="e">
        <f>IF(N13=0,0,VLOOKUP(N13,[1]FAC_TOTALS_APTA!$A$4:$BS$143,$E24,FALSE))</f>
        <v>#REF!</v>
      </c>
      <c r="O24" s="20" t="e">
        <f>IF(O13=0,0,VLOOKUP(O13,[1]FAC_TOTALS_APTA!$A$4:$BS$143,$E24,FALSE))</f>
        <v>#REF!</v>
      </c>
      <c r="P24" s="20" t="e">
        <f>IF(P13=0,0,VLOOKUP(P13,[1]FAC_TOTALS_APTA!$A$4:$BS$143,$E24,FALSE))</f>
        <v>#REF!</v>
      </c>
      <c r="Q24" s="20" t="e">
        <f>IF(Q13=0,0,VLOOKUP(Q13,[1]FAC_TOTALS_APTA!$A$4:$BS$143,$E24,FALSE))</f>
        <v>#REF!</v>
      </c>
      <c r="R24" s="20" t="e">
        <f>IF(R13=0,0,VLOOKUP(R13,[1]FAC_TOTALS_APTA!$A$4:$BS$143,$E24,FALSE))</f>
        <v>#REF!</v>
      </c>
      <c r="S24" s="20" t="e">
        <f>IF(S13=0,0,VLOOKUP(S13,[1]FAC_TOTALS_APTA!$A$4:$BS$143,$E24,FALSE))</f>
        <v>#REF!</v>
      </c>
      <c r="T24" s="20" t="e">
        <f>IF(T13=0,0,VLOOKUP(T13,[1]FAC_TOTALS_APTA!$A$4:$BS$143,$E24,FALSE))</f>
        <v>#REF!</v>
      </c>
      <c r="U24" s="20" t="e">
        <f>IF(U13=0,0,VLOOKUP(U13,[1]FAC_TOTALS_APTA!$A$4:$BS$143,$E24,FALSE))</f>
        <v>#REF!</v>
      </c>
      <c r="V24" s="20" t="e">
        <f>IF(V13=0,0,VLOOKUP(V13,[1]FAC_TOTALS_APTA!$A$4:$BS$143,$E24,FALSE))</f>
        <v>#REF!</v>
      </c>
      <c r="W24" s="20" t="e">
        <f>IF(W13=0,0,VLOOKUP(W13,[1]FAC_TOTALS_APTA!$A$4:$BS$143,$E24,FALSE))</f>
        <v>#REF!</v>
      </c>
      <c r="X24" s="20" t="e">
        <f>IF(X13=0,0,VLOOKUP(X13,[1]FAC_TOTALS_APTA!$A$4:$BS$143,$E24,FALSE))</f>
        <v>#REF!</v>
      </c>
      <c r="Y24" s="20" t="e">
        <f>IF(Y13=0,0,VLOOKUP(Y13,[1]FAC_TOTALS_APTA!$A$4:$BS$143,$E24,FALSE))</f>
        <v>#REF!</v>
      </c>
      <c r="Z24" s="20" t="e">
        <f>IF(Z13=0,0,VLOOKUP(Z13,[1]FAC_TOTALS_APTA!$A$4:$BS$143,$E24,FALSE))</f>
        <v>#REF!</v>
      </c>
      <c r="AA24" s="20" t="e">
        <f>IF(AA13=0,0,VLOOKUP(AA13,[1]FAC_TOTALS_APTA!$A$4:$BS$143,$E24,FALSE))</f>
        <v>#REF!</v>
      </c>
      <c r="AB24" s="20" t="e">
        <f>IF(AB13=0,0,VLOOKUP(AB13,[1]FAC_TOTALS_APTA!$A$4:$BS$143,$E24,FALSE))</f>
        <v>#REF!</v>
      </c>
      <c r="AC24" s="24" t="e">
        <f t="shared" si="3"/>
        <v>#REF!</v>
      </c>
      <c r="AD24" s="25" t="e">
        <f>AC24/G31</f>
        <v>#REF!</v>
      </c>
    </row>
    <row r="25" spans="2:30" ht="13.5" customHeight="1" x14ac:dyDescent="0.25">
      <c r="B25" s="7" t="s">
        <v>31</v>
      </c>
      <c r="C25" s="9"/>
      <c r="D25" s="7" t="s">
        <v>34</v>
      </c>
      <c r="E25" s="21">
        <v>-2.5999999999999999E-3</v>
      </c>
      <c r="F25" s="8" t="e">
        <f>MATCH(#REF!,[1]FAC_TOTALS_APTA!$A$2:$BS$2,)</f>
        <v>#REF!</v>
      </c>
      <c r="G25" s="28" t="e">
        <f>VLOOKUP(G13,[1]FAC_TOTALS_APTA!$A$4:$BS$143,#REF!,FALSE)</f>
        <v>#REF!</v>
      </c>
      <c r="H25" s="28" t="e">
        <f>VLOOKUP(H13,[1]FAC_TOTALS_APTA!$A$4:$BS$143,#REF!,FALSE)</f>
        <v>#REF!</v>
      </c>
      <c r="I25" s="22" t="str">
        <f t="shared" si="0"/>
        <v>-</v>
      </c>
      <c r="J25" s="23"/>
      <c r="K25" s="23" t="str">
        <f t="shared" si="2"/>
        <v>YEARS_SINCE_TNC_RAIL2_HINY_FAC</v>
      </c>
      <c r="L25" s="8">
        <f>MATCH($D25,[1]FAC_TOTALS_APTA!$A$2:$BQ$2,)</f>
        <v>21</v>
      </c>
      <c r="M25" s="20" t="e">
        <f>IF(M13=0,0,VLOOKUP(M13,[1]FAC_TOTALS_APTA!$A$4:$BS$143,$E25,FALSE))</f>
        <v>#REF!</v>
      </c>
      <c r="N25" s="20" t="e">
        <f>IF(N13=0,0,VLOOKUP(N13,[1]FAC_TOTALS_APTA!$A$4:$BS$143,$E25,FALSE))</f>
        <v>#REF!</v>
      </c>
      <c r="O25" s="20" t="e">
        <f>IF(O13=0,0,VLOOKUP(O13,[1]FAC_TOTALS_APTA!$A$4:$BS$143,$E25,FALSE))</f>
        <v>#REF!</v>
      </c>
      <c r="P25" s="20" t="e">
        <f>IF(P13=0,0,VLOOKUP(P13,[1]FAC_TOTALS_APTA!$A$4:$BS$143,$E25,FALSE))</f>
        <v>#REF!</v>
      </c>
      <c r="Q25" s="20" t="e">
        <f>IF(Q13=0,0,VLOOKUP(Q13,[1]FAC_TOTALS_APTA!$A$4:$BS$143,$E25,FALSE))</f>
        <v>#REF!</v>
      </c>
      <c r="R25" s="20" t="e">
        <f>IF(R13=0,0,VLOOKUP(R13,[1]FAC_TOTALS_APTA!$A$4:$BS$143,$E25,FALSE))</f>
        <v>#REF!</v>
      </c>
      <c r="S25" s="20" t="e">
        <f>IF(S13=0,0,VLOOKUP(S13,[1]FAC_TOTALS_APTA!$A$4:$BS$143,$E25,FALSE))</f>
        <v>#REF!</v>
      </c>
      <c r="T25" s="20" t="e">
        <f>IF(T13=0,0,VLOOKUP(T13,[1]FAC_TOTALS_APTA!$A$4:$BS$143,$E25,FALSE))</f>
        <v>#REF!</v>
      </c>
      <c r="U25" s="20" t="e">
        <f>IF(U13=0,0,VLOOKUP(U13,[1]FAC_TOTALS_APTA!$A$4:$BS$143,$E25,FALSE))</f>
        <v>#REF!</v>
      </c>
      <c r="V25" s="20" t="e">
        <f>IF(V13=0,0,VLOOKUP(V13,[1]FAC_TOTALS_APTA!$A$4:$BS$143,$E25,FALSE))</f>
        <v>#REF!</v>
      </c>
      <c r="W25" s="20" t="e">
        <f>IF(W13=0,0,VLOOKUP(W13,[1]FAC_TOTALS_APTA!$A$4:$BS$143,$E25,FALSE))</f>
        <v>#REF!</v>
      </c>
      <c r="X25" s="20" t="e">
        <f>IF(X13=0,0,VLOOKUP(X13,[1]FAC_TOTALS_APTA!$A$4:$BS$143,$E25,FALSE))</f>
        <v>#REF!</v>
      </c>
      <c r="Y25" s="20" t="e">
        <f>IF(Y13=0,0,VLOOKUP(Y13,[1]FAC_TOTALS_APTA!$A$4:$BS$143,$E25,FALSE))</f>
        <v>#REF!</v>
      </c>
      <c r="Z25" s="20" t="e">
        <f>IF(Z13=0,0,VLOOKUP(Z13,[1]FAC_TOTALS_APTA!$A$4:$BS$143,$E25,FALSE))</f>
        <v>#REF!</v>
      </c>
      <c r="AA25" s="20" t="e">
        <f>IF(AA13=0,0,VLOOKUP(AA13,[1]FAC_TOTALS_APTA!$A$4:$BS$143,$E25,FALSE))</f>
        <v>#REF!</v>
      </c>
      <c r="AB25" s="20" t="e">
        <f>IF(AB13=0,0,VLOOKUP(AB13,[1]FAC_TOTALS_APTA!$A$4:$BS$143,$E25,FALSE))</f>
        <v>#REF!</v>
      </c>
      <c r="AC25" s="24" t="e">
        <f t="shared" si="3"/>
        <v>#REF!</v>
      </c>
      <c r="AD25" s="25" t="e">
        <f>AC25/G31</f>
        <v>#REF!</v>
      </c>
    </row>
    <row r="26" spans="2:30" ht="15.75" customHeight="1" x14ac:dyDescent="0.25">
      <c r="B26" s="7" t="s">
        <v>31</v>
      </c>
      <c r="C26" s="9"/>
      <c r="D26" s="7" t="s">
        <v>35</v>
      </c>
      <c r="E26" s="21">
        <v>-2.58E-2</v>
      </c>
      <c r="F26" s="8" t="e">
        <f>MATCH(#REF!,[1]FAC_TOTALS_APTA!$A$2:$BS$2,)</f>
        <v>#REF!</v>
      </c>
      <c r="G26" s="28" t="e">
        <f>VLOOKUP(G13,[1]FAC_TOTALS_APTA!$A$4:$BS$143,#REF!,FALSE)</f>
        <v>#REF!</v>
      </c>
      <c r="H26" s="28" t="e">
        <f>VLOOKUP(H13,[1]FAC_TOTALS_APTA!$A$4:$BS$143,#REF!,FALSE)</f>
        <v>#REF!</v>
      </c>
      <c r="I26" s="22" t="str">
        <f t="shared" si="0"/>
        <v>-</v>
      </c>
      <c r="J26" s="23"/>
      <c r="K26" s="23" t="str">
        <f t="shared" si="2"/>
        <v>YEARS_SINCE_TNC_RAIL2_MIDLOW_FAC</v>
      </c>
      <c r="L26" s="8">
        <f>MATCH($D26,[1]FAC_TOTALS_APTA!$A$2:$BQ$2,)</f>
        <v>22</v>
      </c>
      <c r="M26" s="20" t="e">
        <f>IF(M13=0,0,VLOOKUP(M13,[1]FAC_TOTALS_APTA!$A$4:$BS$143,$E26,FALSE))</f>
        <v>#REF!</v>
      </c>
      <c r="N26" s="20" t="e">
        <f>IF(N13=0,0,VLOOKUP(N13,[1]FAC_TOTALS_APTA!$A$4:$BS$143,$E26,FALSE))</f>
        <v>#REF!</v>
      </c>
      <c r="O26" s="20" t="e">
        <f>IF(O13=0,0,VLOOKUP(O13,[1]FAC_TOTALS_APTA!$A$4:$BS$143,$E26,FALSE))</f>
        <v>#REF!</v>
      </c>
      <c r="P26" s="20" t="e">
        <f>IF(P13=0,0,VLOOKUP(P13,[1]FAC_TOTALS_APTA!$A$4:$BS$143,$E26,FALSE))</f>
        <v>#REF!</v>
      </c>
      <c r="Q26" s="20" t="e">
        <f>IF(Q13=0,0,VLOOKUP(Q13,[1]FAC_TOTALS_APTA!$A$4:$BS$143,$E26,FALSE))</f>
        <v>#REF!</v>
      </c>
      <c r="R26" s="20" t="e">
        <f>IF(R13=0,0,VLOOKUP(R13,[1]FAC_TOTALS_APTA!$A$4:$BS$143,$E26,FALSE))</f>
        <v>#REF!</v>
      </c>
      <c r="S26" s="20" t="e">
        <f>IF(S13=0,0,VLOOKUP(S13,[1]FAC_TOTALS_APTA!$A$4:$BS$143,$E26,FALSE))</f>
        <v>#REF!</v>
      </c>
      <c r="T26" s="20" t="e">
        <f>IF(T13=0,0,VLOOKUP(T13,[1]FAC_TOTALS_APTA!$A$4:$BS$143,$E26,FALSE))</f>
        <v>#REF!</v>
      </c>
      <c r="U26" s="20" t="e">
        <f>IF(U13=0,0,VLOOKUP(U13,[1]FAC_TOTALS_APTA!$A$4:$BS$143,$E26,FALSE))</f>
        <v>#REF!</v>
      </c>
      <c r="V26" s="20" t="e">
        <f>IF(V13=0,0,VLOOKUP(V13,[1]FAC_TOTALS_APTA!$A$4:$BS$143,$E26,FALSE))</f>
        <v>#REF!</v>
      </c>
      <c r="W26" s="20" t="e">
        <f>IF(W13=0,0,VLOOKUP(W13,[1]FAC_TOTALS_APTA!$A$4:$BS$143,$E26,FALSE))</f>
        <v>#REF!</v>
      </c>
      <c r="X26" s="20" t="e">
        <f>IF(X13=0,0,VLOOKUP(X13,[1]FAC_TOTALS_APTA!$A$4:$BS$143,$E26,FALSE))</f>
        <v>#REF!</v>
      </c>
      <c r="Y26" s="20" t="e">
        <f>IF(Y13=0,0,VLOOKUP(Y13,[1]FAC_TOTALS_APTA!$A$4:$BS$143,$E26,FALSE))</f>
        <v>#REF!</v>
      </c>
      <c r="Z26" s="20" t="e">
        <f>IF(Z13=0,0,VLOOKUP(Z13,[1]FAC_TOTALS_APTA!$A$4:$BS$143,$E26,FALSE))</f>
        <v>#REF!</v>
      </c>
      <c r="AA26" s="20" t="e">
        <f>IF(AA13=0,0,VLOOKUP(AA13,[1]FAC_TOTALS_APTA!$A$4:$BS$143,$E26,FALSE))</f>
        <v>#REF!</v>
      </c>
      <c r="AB26" s="20" t="e">
        <f>IF(AB13=0,0,VLOOKUP(AB13,[1]FAC_TOTALS_APTA!$A$4:$BS$143,$E26,FALSE))</f>
        <v>#REF!</v>
      </c>
      <c r="AC26" s="24" t="e">
        <f t="shared" si="3"/>
        <v>#REF!</v>
      </c>
      <c r="AD26" s="25" t="e">
        <f>AC26/G31</f>
        <v>#REF!</v>
      </c>
    </row>
    <row r="27" spans="2:30" x14ac:dyDescent="0.25">
      <c r="B27" s="7" t="s">
        <v>36</v>
      </c>
      <c r="C27" s="9"/>
      <c r="D27" s="8" t="s">
        <v>37</v>
      </c>
      <c r="E27" s="21">
        <v>1.46E-2</v>
      </c>
      <c r="F27" s="8" t="e">
        <f>MATCH(#REF!,[1]FAC_TOTALS_APTA!$A$2:$BS$2,)</f>
        <v>#REF!</v>
      </c>
      <c r="G27" s="28" t="e">
        <f>VLOOKUP(G13,[1]FAC_TOTALS_APTA!$A$4:$BS$143,#REF!,FALSE)</f>
        <v>#REF!</v>
      </c>
      <c r="H27" s="28" t="e">
        <f>VLOOKUP(H13,[1]FAC_TOTALS_APTA!$A$4:$BS$143,#REF!,FALSE)</f>
        <v>#REF!</v>
      </c>
      <c r="I27" s="22" t="str">
        <f t="shared" si="0"/>
        <v>-</v>
      </c>
      <c r="J27" s="23" t="str">
        <f t="shared" si="1"/>
        <v/>
      </c>
      <c r="K27" s="23" t="str">
        <f t="shared" si="2"/>
        <v>BIKE_SHARE_FAC</v>
      </c>
      <c r="L27" s="8">
        <f>MATCH($D27,[1]FAC_TOTALS_APTA!$A$2:$BQ$2,)</f>
        <v>23</v>
      </c>
      <c r="M27" s="20" t="e">
        <f>IF(M13=0,0,VLOOKUP(M13,[1]FAC_TOTALS_APTA!$A$4:$BS$143,$E27,FALSE))</f>
        <v>#REF!</v>
      </c>
      <c r="N27" s="20" t="e">
        <f>IF(N13=0,0,VLOOKUP(N13,[1]FAC_TOTALS_APTA!$A$4:$BS$143,$E27,FALSE))</f>
        <v>#REF!</v>
      </c>
      <c r="O27" s="20" t="e">
        <f>IF(O13=0,0,VLOOKUP(O13,[1]FAC_TOTALS_APTA!$A$4:$BS$143,$E27,FALSE))</f>
        <v>#REF!</v>
      </c>
      <c r="P27" s="20" t="e">
        <f>IF(P13=0,0,VLOOKUP(P13,[1]FAC_TOTALS_APTA!$A$4:$BS$143,$E27,FALSE))</f>
        <v>#REF!</v>
      </c>
      <c r="Q27" s="20" t="e">
        <f>IF(Q13=0,0,VLOOKUP(Q13,[1]FAC_TOTALS_APTA!$A$4:$BS$143,$E27,FALSE))</f>
        <v>#REF!</v>
      </c>
      <c r="R27" s="20" t="e">
        <f>IF(R13=0,0,VLOOKUP(R13,[1]FAC_TOTALS_APTA!$A$4:$BS$143,$E27,FALSE))</f>
        <v>#REF!</v>
      </c>
      <c r="S27" s="20" t="e">
        <f>IF(S13=0,0,VLOOKUP(S13,[1]FAC_TOTALS_APTA!$A$4:$BS$143,$E27,FALSE))</f>
        <v>#REF!</v>
      </c>
      <c r="T27" s="20" t="e">
        <f>IF(T13=0,0,VLOOKUP(T13,[1]FAC_TOTALS_APTA!$A$4:$BS$143,$E27,FALSE))</f>
        <v>#REF!</v>
      </c>
      <c r="U27" s="20" t="e">
        <f>IF(U13=0,0,VLOOKUP(U13,[1]FAC_TOTALS_APTA!$A$4:$BS$143,$E27,FALSE))</f>
        <v>#REF!</v>
      </c>
      <c r="V27" s="20" t="e">
        <f>IF(V13=0,0,VLOOKUP(V13,[1]FAC_TOTALS_APTA!$A$4:$BS$143,$E27,FALSE))</f>
        <v>#REF!</v>
      </c>
      <c r="W27" s="20" t="e">
        <f>IF(W13=0,0,VLOOKUP(W13,[1]FAC_TOTALS_APTA!$A$4:$BS$143,$E27,FALSE))</f>
        <v>#REF!</v>
      </c>
      <c r="X27" s="20" t="e">
        <f>IF(X13=0,0,VLOOKUP(X13,[1]FAC_TOTALS_APTA!$A$4:$BS$143,$E27,FALSE))</f>
        <v>#REF!</v>
      </c>
      <c r="Y27" s="20" t="e">
        <f>IF(Y13=0,0,VLOOKUP(Y13,[1]FAC_TOTALS_APTA!$A$4:$BS$143,$E27,FALSE))</f>
        <v>#REF!</v>
      </c>
      <c r="Z27" s="20" t="e">
        <f>IF(Z13=0,0,VLOOKUP(Z13,[1]FAC_TOTALS_APTA!$A$4:$BS$143,$E27,FALSE))</f>
        <v>#REF!</v>
      </c>
      <c r="AA27" s="20" t="e">
        <f>IF(AA13=0,0,VLOOKUP(AA13,[1]FAC_TOTALS_APTA!$A$4:$BS$143,$E27,FALSE))</f>
        <v>#REF!</v>
      </c>
      <c r="AB27" s="20" t="e">
        <f>IF(AB13=0,0,VLOOKUP(AB13,[1]FAC_TOTALS_APTA!$A$4:$BS$143,$E27,FALSE))</f>
        <v>#REF!</v>
      </c>
      <c r="AC27" s="24" t="e">
        <f t="shared" si="3"/>
        <v>#REF!</v>
      </c>
      <c r="AD27" s="25" t="e">
        <f>AC27/G31</f>
        <v>#REF!</v>
      </c>
    </row>
    <row r="28" spans="2:30" x14ac:dyDescent="0.25">
      <c r="B28" s="17" t="s">
        <v>38</v>
      </c>
      <c r="C28" s="18"/>
      <c r="D28" s="19" t="s">
        <v>39</v>
      </c>
      <c r="E28" s="29">
        <v>-4.8399999999999999E-2</v>
      </c>
      <c r="F28" s="19" t="e">
        <f>MATCH(#REF!,[1]FAC_TOTALS_APTA!$A$2:$BS$2,)</f>
        <v>#REF!</v>
      </c>
      <c r="G28" s="30" t="e">
        <f>VLOOKUP(G13,[1]FAC_TOTALS_APTA!$A$4:$BS$143,#REF!,FALSE)</f>
        <v>#REF!</v>
      </c>
      <c r="H28" s="30" t="e">
        <f>VLOOKUP(H13,[1]FAC_TOTALS_APTA!$A$4:$BS$143,#REF!,FALSE)</f>
        <v>#REF!</v>
      </c>
      <c r="I28" s="22" t="str">
        <f t="shared" si="0"/>
        <v>-</v>
      </c>
      <c r="J28" s="31" t="str">
        <f t="shared" si="1"/>
        <v/>
      </c>
      <c r="K28" s="31" t="str">
        <f t="shared" si="2"/>
        <v>scooter_flag_FAC</v>
      </c>
      <c r="L28" s="19">
        <f>MATCH($D28,[1]FAC_TOTALS_APTA!$A$2:$BQ$2,)</f>
        <v>24</v>
      </c>
      <c r="M28" s="32" t="e">
        <f>IF(M13=0,0,VLOOKUP(M13,[1]FAC_TOTALS_APTA!$A$4:$BS$143,$E28,FALSE))</f>
        <v>#REF!</v>
      </c>
      <c r="N28" s="32" t="e">
        <f>IF(N13=0,0,VLOOKUP(N13,[1]FAC_TOTALS_APTA!$A$4:$BS$143,$E28,FALSE))</f>
        <v>#REF!</v>
      </c>
      <c r="O28" s="32" t="e">
        <f>IF(O13=0,0,VLOOKUP(O13,[1]FAC_TOTALS_APTA!$A$4:$BS$143,$E28,FALSE))</f>
        <v>#REF!</v>
      </c>
      <c r="P28" s="32" t="e">
        <f>IF(P13=0,0,VLOOKUP(P13,[1]FAC_TOTALS_APTA!$A$4:$BS$143,$E28,FALSE))</f>
        <v>#REF!</v>
      </c>
      <c r="Q28" s="32" t="e">
        <f>IF(Q13=0,0,VLOOKUP(Q13,[1]FAC_TOTALS_APTA!$A$4:$BS$143,$E28,FALSE))</f>
        <v>#REF!</v>
      </c>
      <c r="R28" s="32" t="e">
        <f>IF(R13=0,0,VLOOKUP(R13,[1]FAC_TOTALS_APTA!$A$4:$BS$143,$E28,FALSE))</f>
        <v>#REF!</v>
      </c>
      <c r="S28" s="32" t="e">
        <f>IF(S13=0,0,VLOOKUP(S13,[1]FAC_TOTALS_APTA!$A$4:$BS$143,$E28,FALSE))</f>
        <v>#REF!</v>
      </c>
      <c r="T28" s="32" t="e">
        <f>IF(T13=0,0,VLOOKUP(T13,[1]FAC_TOTALS_APTA!$A$4:$BS$143,$E28,FALSE))</f>
        <v>#REF!</v>
      </c>
      <c r="U28" s="32" t="e">
        <f>IF(U13=0,0,VLOOKUP(U13,[1]FAC_TOTALS_APTA!$A$4:$BS$143,$E28,FALSE))</f>
        <v>#REF!</v>
      </c>
      <c r="V28" s="32" t="e">
        <f>IF(V13=0,0,VLOOKUP(V13,[1]FAC_TOTALS_APTA!$A$4:$BS$143,$E28,FALSE))</f>
        <v>#REF!</v>
      </c>
      <c r="W28" s="32" t="e">
        <f>IF(W13=0,0,VLOOKUP(W13,[1]FAC_TOTALS_APTA!$A$4:$BS$143,$E28,FALSE))</f>
        <v>#REF!</v>
      </c>
      <c r="X28" s="32" t="e">
        <f>IF(X13=0,0,VLOOKUP(X13,[1]FAC_TOTALS_APTA!$A$4:$BS$143,$E28,FALSE))</f>
        <v>#REF!</v>
      </c>
      <c r="Y28" s="32" t="e">
        <f>IF(Y13=0,0,VLOOKUP(Y13,[1]FAC_TOTALS_APTA!$A$4:$BS$143,$E28,FALSE))</f>
        <v>#REF!</v>
      </c>
      <c r="Z28" s="32" t="e">
        <f>IF(Z13=0,0,VLOOKUP(Z13,[1]FAC_TOTALS_APTA!$A$4:$BS$143,$E28,FALSE))</f>
        <v>#REF!</v>
      </c>
      <c r="AA28" s="32" t="e">
        <f>IF(AA13=0,0,VLOOKUP(AA13,[1]FAC_TOTALS_APTA!$A$4:$BS$143,$E28,FALSE))</f>
        <v>#REF!</v>
      </c>
      <c r="AB28" s="32" t="e">
        <f>IF(AB13=0,0,VLOOKUP(AB13,[1]FAC_TOTALS_APTA!$A$4:$BS$143,$E28,FALSE))</f>
        <v>#REF!</v>
      </c>
      <c r="AC28" s="33" t="e">
        <f t="shared" si="3"/>
        <v>#REF!</v>
      </c>
      <c r="AD28" s="34" t="e">
        <f>AC28/G31</f>
        <v>#REF!</v>
      </c>
    </row>
    <row r="29" spans="2:30" ht="15" customHeight="1" x14ac:dyDescent="0.25">
      <c r="B29" s="35" t="s">
        <v>40</v>
      </c>
      <c r="C29" s="36"/>
      <c r="D29" s="35" t="s">
        <v>41</v>
      </c>
      <c r="E29" s="37"/>
      <c r="F29" s="38"/>
      <c r="G29" s="39"/>
      <c r="H29" s="39"/>
      <c r="I29" s="40"/>
      <c r="J29" s="41"/>
      <c r="K29" s="41" t="str">
        <f t="shared" si="2"/>
        <v>New_Reporter_FAC</v>
      </c>
      <c r="L29" s="38" t="e">
        <f>MATCH($D29,[1]FAC_TOTALS_APTA!$A$2:$BQ$2,)</f>
        <v>#N/A</v>
      </c>
      <c r="M29" s="39" t="e">
        <f>IF(M13=0,0,VLOOKUP(M13,[1]FAC_TOTALS_APTA!$A$4:$BS$143,$E29,FALSE))</f>
        <v>#REF!</v>
      </c>
      <c r="N29" s="39" t="e">
        <f>IF(N13=0,0,VLOOKUP(N13,[1]FAC_TOTALS_APTA!$A$4:$BS$143,$E29,FALSE))</f>
        <v>#REF!</v>
      </c>
      <c r="O29" s="39" t="e">
        <f>IF(O13=0,0,VLOOKUP(O13,[1]FAC_TOTALS_APTA!$A$4:$BS$143,$E29,FALSE))</f>
        <v>#REF!</v>
      </c>
      <c r="P29" s="39" t="e">
        <f>IF(P13=0,0,VLOOKUP(P13,[1]FAC_TOTALS_APTA!$A$4:$BS$143,$E29,FALSE))</f>
        <v>#REF!</v>
      </c>
      <c r="Q29" s="39" t="e">
        <f>IF(Q13=0,0,VLOOKUP(Q13,[1]FAC_TOTALS_APTA!$A$4:$BS$143,$E29,FALSE))</f>
        <v>#REF!</v>
      </c>
      <c r="R29" s="39" t="e">
        <f>IF(R13=0,0,VLOOKUP(R13,[1]FAC_TOTALS_APTA!$A$4:$BS$143,$E29,FALSE))</f>
        <v>#REF!</v>
      </c>
      <c r="S29" s="39" t="e">
        <f>IF(S13=0,0,VLOOKUP(S13,[1]FAC_TOTALS_APTA!$A$4:$BS$143,$E29,FALSE))</f>
        <v>#REF!</v>
      </c>
      <c r="T29" s="39" t="e">
        <f>IF(T13=0,0,VLOOKUP(T13,[1]FAC_TOTALS_APTA!$A$4:$BS$143,$E29,FALSE))</f>
        <v>#REF!</v>
      </c>
      <c r="U29" s="39" t="e">
        <f>IF(U13=0,0,VLOOKUP(U13,[1]FAC_TOTALS_APTA!$A$4:$BS$143,$E29,FALSE))</f>
        <v>#REF!</v>
      </c>
      <c r="V29" s="39" t="e">
        <f>IF(V13=0,0,VLOOKUP(V13,[1]FAC_TOTALS_APTA!$A$4:$BS$143,$E29,FALSE))</f>
        <v>#REF!</v>
      </c>
      <c r="W29" s="39" t="e">
        <f>IF(W13=0,0,VLOOKUP(W13,[1]FAC_TOTALS_APTA!$A$4:$BS$143,$E29,FALSE))</f>
        <v>#REF!</v>
      </c>
      <c r="X29" s="39" t="e">
        <f>IF(X13=0,0,VLOOKUP(X13,[1]FAC_TOTALS_APTA!$A$4:$BS$143,$E29,FALSE))</f>
        <v>#REF!</v>
      </c>
      <c r="Y29" s="39" t="e">
        <f>IF(Y13=0,0,VLOOKUP(Y13,[1]FAC_TOTALS_APTA!$A$4:$BS$143,$E29,FALSE))</f>
        <v>#REF!</v>
      </c>
      <c r="Z29" s="39" t="e">
        <f>IF(Z13=0,0,VLOOKUP(Z13,[1]FAC_TOTALS_APTA!$A$4:$BS$143,$E29,FALSE))</f>
        <v>#REF!</v>
      </c>
      <c r="AA29" s="39" t="e">
        <f>IF(AA13=0,0,VLOOKUP(AA13,[1]FAC_TOTALS_APTA!$A$4:$BS$143,$E29,FALSE))</f>
        <v>#REF!</v>
      </c>
      <c r="AB29" s="39" t="e">
        <f>IF(AB13=0,0,VLOOKUP(AB13,[1]FAC_TOTALS_APTA!$A$4:$BS$143,$E29,FALSE))</f>
        <v>#REF!</v>
      </c>
      <c r="AC29" s="42" t="e">
        <f>SUM(M29:AB29)</f>
        <v>#REF!</v>
      </c>
      <c r="AD29" s="43" t="e">
        <f>AC29/G31</f>
        <v>#REF!</v>
      </c>
    </row>
    <row r="30" spans="2:30" x14ac:dyDescent="0.25">
      <c r="B30" s="7" t="s">
        <v>42</v>
      </c>
      <c r="C30" s="9"/>
      <c r="D30" s="8" t="s">
        <v>43</v>
      </c>
      <c r="E30" s="21"/>
      <c r="F30" s="8" t="e">
        <f>MATCH(#REF!,[1]FAC_TOTALS_APTA!$A$2:$BQ$2,)</f>
        <v>#REF!</v>
      </c>
      <c r="G30" s="20" t="e">
        <f>VLOOKUP(G13,[1]FAC_TOTALS_APTA!$A$4:$BS$143,#REF!,FALSE)</f>
        <v>#REF!</v>
      </c>
      <c r="H30" s="20" t="e">
        <f>VLOOKUP(H13,[1]FAC_TOTALS_APTA!$A$4:$BQ$143,#REF!,FALSE)</f>
        <v>#REF!</v>
      </c>
      <c r="I30" s="44" t="e">
        <f t="shared" ref="I30:I31" si="4">H30/G30-1</f>
        <v>#REF!</v>
      </c>
      <c r="J30" s="23"/>
      <c r="K30" s="23"/>
      <c r="L30" s="8"/>
      <c r="M30" s="20" t="e">
        <f t="shared" ref="M30:AB30" si="5">SUM(M15:M20)</f>
        <v>#REF!</v>
      </c>
      <c r="N30" s="20" t="e">
        <f t="shared" si="5"/>
        <v>#REF!</v>
      </c>
      <c r="O30" s="20" t="e">
        <f t="shared" si="5"/>
        <v>#REF!</v>
      </c>
      <c r="P30" s="20" t="e">
        <f t="shared" si="5"/>
        <v>#REF!</v>
      </c>
      <c r="Q30" s="20" t="e">
        <f t="shared" si="5"/>
        <v>#REF!</v>
      </c>
      <c r="R30" s="20" t="e">
        <f t="shared" si="5"/>
        <v>#REF!</v>
      </c>
      <c r="S30" s="20" t="e">
        <f t="shared" si="5"/>
        <v>#REF!</v>
      </c>
      <c r="T30" s="20" t="e">
        <f t="shared" si="5"/>
        <v>#REF!</v>
      </c>
      <c r="U30" s="20" t="e">
        <f t="shared" si="5"/>
        <v>#REF!</v>
      </c>
      <c r="V30" s="20" t="e">
        <f t="shared" si="5"/>
        <v>#REF!</v>
      </c>
      <c r="W30" s="20" t="e">
        <f t="shared" si="5"/>
        <v>#REF!</v>
      </c>
      <c r="X30" s="20" t="e">
        <f t="shared" si="5"/>
        <v>#REF!</v>
      </c>
      <c r="Y30" s="20" t="e">
        <f t="shared" si="5"/>
        <v>#REF!</v>
      </c>
      <c r="Z30" s="20" t="e">
        <f t="shared" si="5"/>
        <v>#REF!</v>
      </c>
      <c r="AA30" s="20" t="e">
        <f t="shared" si="5"/>
        <v>#REF!</v>
      </c>
      <c r="AB30" s="20" t="e">
        <f t="shared" si="5"/>
        <v>#REF!</v>
      </c>
      <c r="AC30" s="24" t="e">
        <f>H30-G30</f>
        <v>#REF!</v>
      </c>
      <c r="AD30" s="25" t="e">
        <f>I30</f>
        <v>#REF!</v>
      </c>
    </row>
    <row r="31" spans="2:30" ht="15.75" thickBot="1" x14ac:dyDescent="0.3">
      <c r="B31" s="45" t="s">
        <v>44</v>
      </c>
      <c r="C31" s="46"/>
      <c r="D31" s="46" t="s">
        <v>45</v>
      </c>
      <c r="E31" s="46"/>
      <c r="F31" s="46" t="e">
        <f>MATCH(#REF!,[1]FAC_TOTALS_APTA!$A$2:$BQ$2,)</f>
        <v>#REF!</v>
      </c>
      <c r="G31" s="6" t="s">
        <v>45</v>
      </c>
      <c r="H31" s="6" t="e">
        <f>VLOOKUP(H13,[1]FAC_TOTALS_APTA!$A$4:$BQ$143,#REF!,FALSE)</f>
        <v>#REF!</v>
      </c>
      <c r="I31" s="47" t="e">
        <f t="shared" si="4"/>
        <v>#REF!</v>
      </c>
      <c r="J31" s="48"/>
      <c r="K31" s="48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9" t="e">
        <f>H31-G31</f>
        <v>#REF!</v>
      </c>
      <c r="AD31" s="50" t="e">
        <f>I31</f>
        <v>#REF!</v>
      </c>
    </row>
    <row r="32" spans="2:30" ht="16.5" thickTop="1" thickBot="1" x14ac:dyDescent="0.3">
      <c r="B32" s="51" t="s">
        <v>46</v>
      </c>
      <c r="C32" s="52"/>
      <c r="D32" s="52"/>
      <c r="E32" s="52"/>
      <c r="F32" s="52"/>
      <c r="G32" s="52"/>
      <c r="H32" s="52"/>
      <c r="I32" s="53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0" t="e">
        <f>AD31-AD30</f>
        <v>#REF!</v>
      </c>
    </row>
    <row r="33" spans="2:30" ht="15.75" thickTop="1" x14ac:dyDescent="0.25">
      <c r="B33" s="1"/>
      <c r="C33" s="2"/>
      <c r="D33" s="2"/>
      <c r="E33" s="2"/>
      <c r="F33" s="2"/>
      <c r="G33" s="2"/>
      <c r="H33" s="2"/>
      <c r="I33" s="3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2:30" x14ac:dyDescent="0.25">
      <c r="B34" s="4" t="s">
        <v>2</v>
      </c>
      <c r="C34" s="2"/>
      <c r="D34" s="2"/>
      <c r="E34" s="2"/>
      <c r="F34" s="2"/>
      <c r="G34" s="2"/>
      <c r="H34" s="2"/>
      <c r="I34" s="3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2:30" x14ac:dyDescent="0.25">
      <c r="B35" s="1" t="s">
        <v>3</v>
      </c>
      <c r="C35" s="5" t="s">
        <v>4</v>
      </c>
      <c r="D35" s="2"/>
      <c r="E35" s="2"/>
      <c r="F35" s="2"/>
      <c r="G35" s="2"/>
      <c r="H35" s="2"/>
      <c r="I35" s="3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</sheetData>
  <mergeCells count="2">
    <mergeCell ref="G10:I10"/>
    <mergeCell ref="AC10:AD10"/>
  </mergeCells>
  <conditionalFormatting sqref="I15:I28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Goyal, Vedant S.</dc:creator>
  <cp:lastModifiedBy>Goyal, Vedant S.</cp:lastModifiedBy>
  <dcterms:created xsi:type="dcterms:W3CDTF">2015-06-05T18:17:20Z</dcterms:created>
  <dcterms:modified xsi:type="dcterms:W3CDTF">2020-02-14T20:04:18Z</dcterms:modified>
</cp:coreProperties>
</file>